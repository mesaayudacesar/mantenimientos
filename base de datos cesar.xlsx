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tiagoLobo\repositorios\puntos cesar\"/>
    </mc:Choice>
  </mc:AlternateContent>
  <xr:revisionPtr revIDLastSave="0" documentId="8_{BD2D5B9F-83B0-46B3-AA96-A1EC2A4CCFA9}" xr6:coauthVersionLast="47" xr6:coauthVersionMax="47" xr10:uidLastSave="{00000000-0000-0000-0000-000000000000}"/>
  <bookViews>
    <workbookView xWindow="-120" yWindow="-120" windowWidth="20730" windowHeight="11040" xr2:uid="{44B2C207-8E83-4B81-8AEA-9DB68C8BF72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6" i="1" l="1"/>
  <c r="H946" i="1"/>
  <c r="I942" i="1"/>
  <c r="H942" i="1"/>
  <c r="I938" i="1"/>
  <c r="H938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<sst xmlns="http://schemas.openxmlformats.org/spreadsheetml/2006/main" count="5689" uniqueCount="1944">
  <si>
    <t>ZONA</t>
  </si>
  <si>
    <t>CODIGOPV</t>
  </si>
  <si>
    <t>DIRECCION PDV</t>
  </si>
  <si>
    <t>NOMBREPV</t>
  </si>
  <si>
    <t>CODIGO CENTRO DE COSTO</t>
  </si>
  <si>
    <t>NOMBRE DE CENTRO DE COSTO</t>
  </si>
  <si>
    <t>TIPO</t>
  </si>
  <si>
    <t>LATITUD</t>
  </si>
  <si>
    <t>LONGITUD</t>
  </si>
  <si>
    <t xml:space="preserve">TECNICO  ASIGNADO </t>
  </si>
  <si>
    <t>CEDULA</t>
  </si>
  <si>
    <t>TELEFONO</t>
  </si>
  <si>
    <t>EMAIL</t>
  </si>
  <si>
    <t xml:space="preserve">Calle 9B #30-34 </t>
  </si>
  <si>
    <t>PDV VARIEDADES SANTINY</t>
  </si>
  <si>
    <t>VALLEDUPAR LANEVADA</t>
  </si>
  <si>
    <t>PDV</t>
  </si>
  <si>
    <t>JOHN CARLOS BARRAGAN ROMERO</t>
  </si>
  <si>
    <t>jhon.barragan@supergiroscesar.co</t>
  </si>
  <si>
    <t xml:space="preserve">CRA 19 N 7D-35 PONTEVEDRA </t>
  </si>
  <si>
    <t>CDA SIMON BOLIVAR 7D</t>
  </si>
  <si>
    <t>VALLEDUPAR SIMON BOLIVAR 7D</t>
  </si>
  <si>
    <t>CDA</t>
  </si>
  <si>
    <t>DANIEL ENRIQUE ACOSTA BOLAÑO</t>
  </si>
  <si>
    <t>daniel.acosta@supergiroscesar.co</t>
  </si>
  <si>
    <t>CALLE 21 N N 18C -02</t>
  </si>
  <si>
    <t>CM BERACO</t>
  </si>
  <si>
    <t>CM</t>
  </si>
  <si>
    <t xml:space="preserve">TRANSVERSAL 25A #17 - 35 </t>
  </si>
  <si>
    <t>PDV DROGUERIA COLOMBIA</t>
  </si>
  <si>
    <t>VALLEDUPAR FUNDADORES</t>
  </si>
  <si>
    <t>CRA 35 20-06</t>
  </si>
  <si>
    <t>PDV MARIA VALERIA</t>
  </si>
  <si>
    <t>VALLEDUPAR AV LOS MILITARES</t>
  </si>
  <si>
    <t xml:space="preserve">Cra. 35 #9-2 a 9-132
</t>
  </si>
  <si>
    <t>CM GALERIA AFUERA</t>
  </si>
  <si>
    <t>VALLEDUPAR LOPERENA</t>
  </si>
  <si>
    <t>CALLE 4 # 9A-65</t>
  </si>
  <si>
    <t>CM PEPE CASTRO</t>
  </si>
  <si>
    <t>MANAURE</t>
  </si>
  <si>
    <t>ANDRES JUAN COBO OSPINO</t>
  </si>
  <si>
    <t>andres.cobo@supergiroscesar.co</t>
  </si>
  <si>
    <t xml:space="preserve">CALLE 21 # 20 - 08 </t>
  </si>
  <si>
    <t>PDV LA 21</t>
  </si>
  <si>
    <t>VALLEDUPAR PEDIATRICO</t>
  </si>
  <si>
    <t>Calle 2 # 2-34</t>
  </si>
  <si>
    <t>OFICINA PRINCIPAL EL PASO</t>
  </si>
  <si>
    <t>EL PASO</t>
  </si>
  <si>
    <t>GUSTAVO ADOLFO MEJIA MISATH</t>
  </si>
  <si>
    <t>gustavo.mejia@supergiroscesar.co</t>
  </si>
  <si>
    <t>CR 4 # 7-07</t>
  </si>
  <si>
    <t>OFICINA PRINCIPAL CHIRIGUANA</t>
  </si>
  <si>
    <t>CHIRIGUANA</t>
  </si>
  <si>
    <t>DIAG 16 # 17-69</t>
  </si>
  <si>
    <t>CM OLIMPICA PRINCIPAL</t>
  </si>
  <si>
    <t>VALLEDUPAR PRINCIPAL</t>
  </si>
  <si>
    <t>CALLE 7 CRA 16ESQUINA</t>
  </si>
  <si>
    <t>CURUMANI</t>
  </si>
  <si>
    <t>LUIS ALBERTO BARRAZA RODRIGUEZ</t>
  </si>
  <si>
    <t>luis.barraza@supergiroscesar.co</t>
  </si>
  <si>
    <t>Calle 6 # 27-46</t>
  </si>
  <si>
    <t>PDV ORIENTE DE CALLEJAS</t>
  </si>
  <si>
    <t>VALLEDUPAR LA CANDELARIA</t>
  </si>
  <si>
    <t>Cr 19D#13cbis 30</t>
  </si>
  <si>
    <t>PDV LAS FLORES</t>
  </si>
  <si>
    <t xml:space="preserve">crr 5 # 3-04 </t>
  </si>
  <si>
    <t>PDV MARIANGOLA</t>
  </si>
  <si>
    <t>VALLEDUPAR TERMINAL 2</t>
  </si>
  <si>
    <t>Calle 5 # 5 - 93</t>
  </si>
  <si>
    <t>CM CORREGIMIENTO COSTILLAS</t>
  </si>
  <si>
    <t>PELAYA</t>
  </si>
  <si>
    <t>RUBEN DARIO RAPALINO TAPIA</t>
  </si>
  <si>
    <t>ruben.rapalino@supergiroscesar.co</t>
  </si>
  <si>
    <t>CR1A#1A-9</t>
  </si>
  <si>
    <t xml:space="preserve">LA GLORIA </t>
  </si>
  <si>
    <t>LA GLORIA</t>
  </si>
  <si>
    <t xml:space="preserve">Calle 8—Nro 55 </t>
  </si>
  <si>
    <t>CM VARIEDADES LA PLATA</t>
  </si>
  <si>
    <t>BOSCONIA</t>
  </si>
  <si>
    <t xml:space="preserve">CRR 5B # 44 - 05 </t>
  </si>
  <si>
    <t>CM NUEVA PARADA</t>
  </si>
  <si>
    <t>VALLEDUPAR TERMINAL</t>
  </si>
  <si>
    <t xml:space="preserve">CRA 5 # 20b2-20-4 </t>
  </si>
  <si>
    <t>CM SICARARE</t>
  </si>
  <si>
    <t>CR 15 # 20B-41 LOCAL A70</t>
  </si>
  <si>
    <t>PDV MERCADO</t>
  </si>
  <si>
    <t>CALLE 4 5A-83</t>
  </si>
  <si>
    <t xml:space="preserve">SAN DIEGO </t>
  </si>
  <si>
    <t>SAN DIEGO</t>
  </si>
  <si>
    <t>CRA 13 21-171</t>
  </si>
  <si>
    <t>CM LA MONA</t>
  </si>
  <si>
    <t>CODAZZI</t>
  </si>
  <si>
    <t xml:space="preserve">	Cra. 7 #18A-33</t>
  </si>
  <si>
    <t xml:space="preserve">CM MI FUTURO GALERIA </t>
  </si>
  <si>
    <t>Calle 8 kra 4 esquina</t>
  </si>
  <si>
    <t xml:space="preserve">CHIMICHAGUA </t>
  </si>
  <si>
    <t>CHIMICHAGUA</t>
  </si>
  <si>
    <t>Calle 5 kra 4local 2</t>
  </si>
  <si>
    <t>PDV ANTIGUO CDA CHIMICHAGUA</t>
  </si>
  <si>
    <t>DIAGONAL MZ 12-59</t>
  </si>
  <si>
    <t xml:space="preserve">LA JAGUA </t>
  </si>
  <si>
    <t>LA JAGUA</t>
  </si>
  <si>
    <t>Kra 6 # 5 - 29</t>
  </si>
  <si>
    <t>PDV PLAZA MERCADO PELAYA</t>
  </si>
  <si>
    <t>Cra 3 # 4 - 23</t>
  </si>
  <si>
    <t>CM LA CURVA</t>
  </si>
  <si>
    <t>SAN MARTIN</t>
  </si>
  <si>
    <t>JIMMY CASTELLANOS MADRID</t>
  </si>
  <si>
    <t>Jimmy.castellanos@supergiroscesar.co</t>
  </si>
  <si>
    <t xml:space="preserve">Carrera 8 # 15 – 54 Local 4 </t>
  </si>
  <si>
    <t xml:space="preserve">CDA SAN MARTIN </t>
  </si>
  <si>
    <t>CL 3 N 3-49</t>
  </si>
  <si>
    <t xml:space="preserve">SAN ALBERTO </t>
  </si>
  <si>
    <t>SAN ALBERTO</t>
  </si>
  <si>
    <t>CALLE 2F # 6A-2</t>
  </si>
  <si>
    <t xml:space="preserve">MANAURE </t>
  </si>
  <si>
    <t>CLL 7 #7 -34</t>
  </si>
  <si>
    <t>PDV ANTIGUO CDA GAMARRA</t>
  </si>
  <si>
    <t>GAMARRA</t>
  </si>
  <si>
    <t>CRA 16 19-50</t>
  </si>
  <si>
    <t>Kra 18 # 16-68</t>
  </si>
  <si>
    <t>Calle9#3-77</t>
  </si>
  <si>
    <t xml:space="preserve">BECERRIL </t>
  </si>
  <si>
    <t>BECERRIL</t>
  </si>
  <si>
    <t xml:space="preserve">Mz1casa10 </t>
  </si>
  <si>
    <t>CM LOS MANGUITOS</t>
  </si>
  <si>
    <t>Calle 7 # 5-114 piso 1 local 1</t>
  </si>
  <si>
    <t xml:space="preserve">ASTREA </t>
  </si>
  <si>
    <t>ASTREA</t>
  </si>
  <si>
    <t>transv 6 cl 7 local 2</t>
  </si>
  <si>
    <t xml:space="preserve">PAILITAS </t>
  </si>
  <si>
    <t>PAILITAS</t>
  </si>
  <si>
    <t xml:space="preserve">MANZANA 12 CASA 26 </t>
  </si>
  <si>
    <t>PDV MAREIGUA</t>
  </si>
  <si>
    <t xml:space="preserve">Cll7 #19D-82 </t>
  </si>
  <si>
    <t>PDV CORRALITO</t>
  </si>
  <si>
    <t xml:space="preserve">CARRERA 18D # 38 - 26 </t>
  </si>
  <si>
    <t>PDV SIMON BOLIVAR</t>
  </si>
  <si>
    <t xml:space="preserve">CRA 18D # 22 -42 APTO 01 </t>
  </si>
  <si>
    <t>PDV SANTA ISABEL</t>
  </si>
  <si>
    <t xml:space="preserve">	Carrera 7 No.16b1</t>
  </si>
  <si>
    <t>CM CC LOS ANGELES</t>
  </si>
  <si>
    <t xml:space="preserve">Calle 6 #40-33 APTO 01 </t>
  </si>
  <si>
    <t>PDV NEVADA 3</t>
  </si>
  <si>
    <t xml:space="preserve">via principal # 7 - 61 </t>
  </si>
  <si>
    <t>PDV AGUAS BLANCAS</t>
  </si>
  <si>
    <t>CRA 8 #9-50 LOCAL 2</t>
  </si>
  <si>
    <t>CDA PRINCIPAL PELAYA</t>
  </si>
  <si>
    <t>Calle 8 #8-103</t>
  </si>
  <si>
    <t>PDV CORREGIMIENTO LAS VEGAS</t>
  </si>
  <si>
    <t>CRA 2#1B29</t>
  </si>
  <si>
    <t>CM LA TRONCAL CASACARA</t>
  </si>
  <si>
    <t>CASACARA CODAZZI</t>
  </si>
  <si>
    <t>CRA 16 23-29</t>
  </si>
  <si>
    <t>PDV LOS NIETOS</t>
  </si>
  <si>
    <t>Calle 18 # 12-45</t>
  </si>
  <si>
    <t>PDV ZOHAIR. COM</t>
  </si>
  <si>
    <t xml:space="preserve">Cr5#1-25 </t>
  </si>
  <si>
    <t>CM BARBERIA CABANA</t>
  </si>
  <si>
    <t xml:space="preserve">CALLE 2N # 40 </t>
  </si>
  <si>
    <t>PDV LOCAL 2 NORTE</t>
  </si>
  <si>
    <t>AGUACHICA SAN EDUARDO</t>
  </si>
  <si>
    <t>CALLE 2 NORTE #39-177</t>
  </si>
  <si>
    <t>PDV LOCAL SABANITA</t>
  </si>
  <si>
    <t>CL 5 N° 20-15</t>
  </si>
  <si>
    <t>PDV LOCAL LA CABAÑA ( LA 40 )</t>
  </si>
  <si>
    <t>CALLE 5 # 20-17</t>
  </si>
  <si>
    <t>PDV LA REBAJA</t>
  </si>
  <si>
    <t>AGUACHICA SAN ANTONIO</t>
  </si>
  <si>
    <t xml:space="preserve">CALLE 8 #21 -07 </t>
  </si>
  <si>
    <t>PDV LOCAL LA CANCHA</t>
  </si>
  <si>
    <t>CALLE 4 # 25-04</t>
  </si>
  <si>
    <t>PDV LOCAL LA CUARTA</t>
  </si>
  <si>
    <t>AGUACHICA MORROSCOY</t>
  </si>
  <si>
    <t>CL 16 #19C - 35 LOCAL 1</t>
  </si>
  <si>
    <t>PDV CALLE 16</t>
  </si>
  <si>
    <t>DIAGONAL 21 # 27- 83, SOBRE LA AVENIDA FUNDACION</t>
  </si>
  <si>
    <t>PDV SATELITE</t>
  </si>
  <si>
    <t>CRA 7 3 - 73</t>
  </si>
  <si>
    <t>CM DROGUERIA SERVICD</t>
  </si>
  <si>
    <t xml:space="preserve">Carrera 41 #5C-13 </t>
  </si>
  <si>
    <t>PDV DIVINO NIÑO</t>
  </si>
  <si>
    <t>Calle 7A #38-87 APTO 01</t>
  </si>
  <si>
    <t>PDV LA NEVADA 4</t>
  </si>
  <si>
    <t xml:space="preserve">manzana 42 Avenida </t>
  </si>
  <si>
    <t>PDV BRISA DE LA POPA</t>
  </si>
  <si>
    <t>VALLEDUPAR BELLA VISTA</t>
  </si>
  <si>
    <t xml:space="preserve">CALLE 31 # 6A-14 </t>
  </si>
  <si>
    <t>PDV MAYALES</t>
  </si>
  <si>
    <t>VALLEDUPAR LA CUARTA</t>
  </si>
  <si>
    <t>CR 4 N 4-73 LOCAL 2</t>
  </si>
  <si>
    <t>PDV CENTRO SAN ALBERTO</t>
  </si>
  <si>
    <t>KDX 2-5 LA MATA</t>
  </si>
  <si>
    <t>CM CORREGIMIENTO SIMAÑA</t>
  </si>
  <si>
    <t>Calle 17A # 20-05 Barrio el recreo</t>
  </si>
  <si>
    <t>PDV DONDE YOLI</t>
  </si>
  <si>
    <t>NUEVO BOSCONIA</t>
  </si>
  <si>
    <t>CALLE 1N # 25-19</t>
  </si>
  <si>
    <t>PDV LOCAL LA ISLA</t>
  </si>
  <si>
    <t>CARRERA 32 #5 -45</t>
  </si>
  <si>
    <t>PDV HOSPITAL DE AGUACHICA</t>
  </si>
  <si>
    <t>DIAGONAL 21 #21-04 AVENIDA FUNDACION</t>
  </si>
  <si>
    <t>CM VALLEPAN</t>
  </si>
  <si>
    <t xml:space="preserve">CALLE 6 CRA 3-44 LA VEGA </t>
  </si>
  <si>
    <t>CM PATILLAL</t>
  </si>
  <si>
    <t xml:space="preserve">calle 44 # 18d - 55 </t>
  </si>
  <si>
    <t>PDV PETROMIL</t>
  </si>
  <si>
    <t xml:space="preserve">CALLE 25A # 15 - 59 </t>
  </si>
  <si>
    <t xml:space="preserve">CM DROGUERIA LA BOTICA </t>
  </si>
  <si>
    <t>CARRERA 9A 2C-70</t>
  </si>
  <si>
    <t>PDV LA PLAZA</t>
  </si>
  <si>
    <t>KDX 19 13B- 99 LA PRADERA</t>
  </si>
  <si>
    <t>PDV CUATRO ESQUINA</t>
  </si>
  <si>
    <t>AGUACHICA SAN ROQUE</t>
  </si>
  <si>
    <t>TRANV 25 # 18A - 55</t>
  </si>
  <si>
    <t>CM ALTOS DEL PROGRESO</t>
  </si>
  <si>
    <t>Carrera 30 7A bis-130</t>
  </si>
  <si>
    <t>PDV CANCHA 5 DE ENERO</t>
  </si>
  <si>
    <t>CRA 19 N 7A-06 LOS MUSICOS</t>
  </si>
  <si>
    <t>PDV CABINA TIENDA BADILLO</t>
  </si>
  <si>
    <t>CRA 15 N 16 A 133 SAN JOAQUIJN</t>
  </si>
  <si>
    <t>PDV EL PELU</t>
  </si>
  <si>
    <t xml:space="preserve">CASA 34 </t>
  </si>
  <si>
    <t>CM EL MARQUEZ 2</t>
  </si>
  <si>
    <t>RIO DE ORO</t>
  </si>
  <si>
    <t>CLL 6 CRA 6 # 6-08</t>
  </si>
  <si>
    <t>CM EL CENTRO</t>
  </si>
  <si>
    <t>LA_PAZ</t>
  </si>
  <si>
    <t>CALLE 16 # 9 - 16</t>
  </si>
  <si>
    <t>CM TERMINAL</t>
  </si>
  <si>
    <t>CALLE 16 # 10C - 75</t>
  </si>
  <si>
    <t>PDV NUEVA COLOMBIA</t>
  </si>
  <si>
    <t>CR 16 N 5-20</t>
  </si>
  <si>
    <t xml:space="preserve">OFICINA SAN ANTONIO </t>
  </si>
  <si>
    <t>Calle 8  26-21</t>
  </si>
  <si>
    <t>PDV LOCAL LA 8</t>
  </si>
  <si>
    <t>CRA 39 # 2N - 37</t>
  </si>
  <si>
    <t>PDV LOCAL LA 39</t>
  </si>
  <si>
    <t>CL 16C N. 19D-02</t>
  </si>
  <si>
    <t>PDV EL DANGOND</t>
  </si>
  <si>
    <t xml:space="preserve">Calle 1 #29-86 </t>
  </si>
  <si>
    <t xml:space="preserve">CM OLIMPICA SIERRA NEVADA </t>
  </si>
  <si>
    <t>VALLEDUPAR SIERRA NEVADA</t>
  </si>
  <si>
    <t>CALLE 6 # 4-03</t>
  </si>
  <si>
    <t>PDV SAN ROQUE</t>
  </si>
  <si>
    <t>SAN ROQUE - CURUMANI</t>
  </si>
  <si>
    <t>CL 11-19G-79</t>
  </si>
  <si>
    <t>PDV ALTOS DE GARUPAL</t>
  </si>
  <si>
    <t xml:space="preserve">CRR 21 # 33 - 02 </t>
  </si>
  <si>
    <t>CM SAN MARTIN</t>
  </si>
  <si>
    <t xml:space="preserve">	  Crra 7A #19c-07</t>
  </si>
  <si>
    <t>PDV SALGUERO</t>
  </si>
  <si>
    <t>Carrera 48 Calle 4-31</t>
  </si>
  <si>
    <t>PDV LA ROCA</t>
  </si>
  <si>
    <t>carrera 4 # 5 -15</t>
  </si>
  <si>
    <t>CM VALENCIAS DE JESUS</t>
  </si>
  <si>
    <t>CRA 13N 9C 83 SAN JOAQUIN</t>
  </si>
  <si>
    <t>CM PUNTO ROJO</t>
  </si>
  <si>
    <t>CALLE 5 # 5 - 73</t>
  </si>
  <si>
    <t>CM BARRIO PALMIRA</t>
  </si>
  <si>
    <t>TAMALAMEQUE</t>
  </si>
  <si>
    <t>CRA 3 # 9-02</t>
  </si>
  <si>
    <t>OFICINA PPAL SAN ROQUE</t>
  </si>
  <si>
    <t>CLL 15 31-80 UNION</t>
  </si>
  <si>
    <t>PDV VILLA MOSQUITO</t>
  </si>
  <si>
    <t>DIAGONAL 21  # 23- 14</t>
  </si>
  <si>
    <t xml:space="preserve">carrera 7a # 44 - 156 local 101 terminal </t>
  </si>
  <si>
    <t xml:space="preserve">VALLEDUPAR TERMINAL </t>
  </si>
  <si>
    <t>Calle 6 #42-43</t>
  </si>
  <si>
    <t>CDA OFICINA LA NEVADA</t>
  </si>
  <si>
    <t>CRA 12 # 16-42</t>
  </si>
  <si>
    <t>CDA OFICINA PRINCIPAL</t>
  </si>
  <si>
    <t>CR 15 # 20B-8</t>
  </si>
  <si>
    <t>CM MI FUTURO MERCADO</t>
  </si>
  <si>
    <t>Calle 16a #9-63</t>
  </si>
  <si>
    <t>CL 5 N 10-56</t>
  </si>
  <si>
    <t xml:space="preserve">CRA 18E # 27 - 46 </t>
  </si>
  <si>
    <t>CDA PEDIATRICO</t>
  </si>
  <si>
    <t>CALLE 1A # 20 - 27</t>
  </si>
  <si>
    <t>CM LA PALMA</t>
  </si>
  <si>
    <t>CALLE 4 # 5 - 04</t>
  </si>
  <si>
    <t xml:space="preserve">PDV NUEVO GAMARRA </t>
  </si>
  <si>
    <t>calle 1 B kra - 114P candelaria cesar</t>
  </si>
  <si>
    <t>CM MARTINEZ MONTERO</t>
  </si>
  <si>
    <t xml:space="preserve">CALLE 11 # 10A - 175 </t>
  </si>
  <si>
    <t>PDV PATINODROMO</t>
  </si>
  <si>
    <t>KDX 130</t>
  </si>
  <si>
    <t>PDV VILLAS DE SAN ANDRES</t>
  </si>
  <si>
    <t>CRA 18 CLL 21</t>
  </si>
  <si>
    <t>CM GRANERO LA FLORIDA</t>
  </si>
  <si>
    <t>kra 6 # 4-48 kra principal</t>
  </si>
  <si>
    <t>PDV RINCON HONDO</t>
  </si>
  <si>
    <t>CALLE 5#2-47</t>
  </si>
  <si>
    <t xml:space="preserve">LA LOMA </t>
  </si>
  <si>
    <t>LA LOMA</t>
  </si>
  <si>
    <t>kra 9 # 321 el carmen</t>
  </si>
  <si>
    <t>CM LA CHIQUI</t>
  </si>
  <si>
    <t>calle 3 # 57-75 poponte</t>
  </si>
  <si>
    <t>CM POPONTE</t>
  </si>
  <si>
    <t>CALLE 12 # 7 - 60</t>
  </si>
  <si>
    <t>PDV 14 CON 7</t>
  </si>
  <si>
    <t>CALLE 4 # 7-6</t>
  </si>
  <si>
    <t>CM GRANERO EL PAISA</t>
  </si>
  <si>
    <t xml:space="preserve">CALLE 35 CRR 20 - 28 </t>
  </si>
  <si>
    <t>PDV PARQUE SAN MARTIN</t>
  </si>
  <si>
    <t>CLL 17 CRA 9-79</t>
  </si>
  <si>
    <t>PDV BETPLAY LA 17</t>
  </si>
  <si>
    <t>CALLE 8 # 4</t>
  </si>
  <si>
    <t>CM LA VILLA</t>
  </si>
  <si>
    <t>GONZALEZ</t>
  </si>
  <si>
    <t>TRANSVERSAL 23 #16A LOCAL 1</t>
  </si>
  <si>
    <t>PDV SOHAIR</t>
  </si>
  <si>
    <t>CRA 4 #17-35</t>
  </si>
  <si>
    <t xml:space="preserve">PDV EL CARMEN </t>
  </si>
  <si>
    <t>Cl 3 Kra 3 - 55 Badillo Cesar</t>
  </si>
  <si>
    <t>PDV BADILLO</t>
  </si>
  <si>
    <t>CRA 4 CLL 1-18</t>
  </si>
  <si>
    <t xml:space="preserve">CM CENTRO TAMALAMEQUE </t>
  </si>
  <si>
    <t>CLL 2A CRA 11 # 2A-211</t>
  </si>
  <si>
    <t>CM 7 DE JULIO</t>
  </si>
  <si>
    <t>Calle 4B sabana la sierra</t>
  </si>
  <si>
    <t>CM LA SIERRIETA 2</t>
  </si>
  <si>
    <t xml:space="preserve">sector 1 mz 22- 32 apto 01 </t>
  </si>
  <si>
    <t>PDV TAIRONA</t>
  </si>
  <si>
    <t>CALLE 2 CRA 2 # 1-04</t>
  </si>
  <si>
    <t>OFICINA PPAL SAN JOSE ORIENTE</t>
  </si>
  <si>
    <t>SAN JOSE DE ORIENTE - LA PAZ</t>
  </si>
  <si>
    <t>CALLE 20 15-110</t>
  </si>
  <si>
    <t>CM GRAN FULL</t>
  </si>
  <si>
    <t>MZ 18 CASA 20 LOCAL 03</t>
  </si>
  <si>
    <t>CDA AVENIDA MILITARES</t>
  </si>
  <si>
    <t xml:space="preserve">CLL 17 CR12- 89 </t>
  </si>
  <si>
    <t>CDA VALLEDUPAR FAMISANAR</t>
  </si>
  <si>
    <t xml:space="preserve">CALLE 50 # 32 - 138 </t>
  </si>
  <si>
    <t>CM DON CARMELO 2</t>
  </si>
  <si>
    <t xml:space="preserve">Calle 9 B número 30 A-20 </t>
  </si>
  <si>
    <t>PDV 5 DE ENERO</t>
  </si>
  <si>
    <t xml:space="preserve">CR 23 #6-30 </t>
  </si>
  <si>
    <t>CDA LA CANDELARIA</t>
  </si>
  <si>
    <t>Cr 23 6d 05 loc 01</t>
  </si>
  <si>
    <t>PDV LA 23 ESPERANZA</t>
  </si>
  <si>
    <t>CLL 15 # 15-40</t>
  </si>
  <si>
    <t>PDV EMDUPAR PRINCIPAL</t>
  </si>
  <si>
    <t xml:space="preserve">CARRERA 27 # 34 - 05 </t>
  </si>
  <si>
    <t>PDV DROGUERIA EL PRADO</t>
  </si>
  <si>
    <t>Calle 6 #43-50</t>
  </si>
  <si>
    <t>PDV CALLE ANCHA</t>
  </si>
  <si>
    <t xml:space="preserve">CALLE 21 # 4F-17 </t>
  </si>
  <si>
    <t>PDV VILLA CLARA</t>
  </si>
  <si>
    <t xml:space="preserve">CALLE 12 # 18-23 </t>
  </si>
  <si>
    <t>PDV JACKIE CHAN</t>
  </si>
  <si>
    <t>CALLE 5 # 8 -27</t>
  </si>
  <si>
    <t>PDV CENTRO CONVIVENCIA</t>
  </si>
  <si>
    <t xml:space="preserve">CRA 18D # 24- 15  </t>
  </si>
  <si>
    <t>CM APUESTAS EL SUERTE</t>
  </si>
  <si>
    <t>TRANSVERSAL 23 #17 -20</t>
  </si>
  <si>
    <t>PDV LA 23 DE MI FUTURO</t>
  </si>
  <si>
    <t>CRA 36 #18B - BIS 24</t>
  </si>
  <si>
    <t>PDV PIÑATERIA YANI</t>
  </si>
  <si>
    <t xml:space="preserve">Mz 13 casa 14a </t>
  </si>
  <si>
    <t>PDV OASIS DEL NORTE</t>
  </si>
  <si>
    <t xml:space="preserve">PDV GALERIA </t>
  </si>
  <si>
    <t>Calle 6b con CRA 8</t>
  </si>
  <si>
    <t>CM DROGUERIA NEW YORK</t>
  </si>
  <si>
    <t xml:space="preserve">Carrera 19 - 7C </t>
  </si>
  <si>
    <t>CM DON QUIJOTEN LA ESPERANZA</t>
  </si>
  <si>
    <t>CALLE 9 N 4-44 CORREGIMIENTO</t>
  </si>
  <si>
    <t>CM RIO SECO 2</t>
  </si>
  <si>
    <t>Calle 9 # 5-54</t>
  </si>
  <si>
    <t xml:space="preserve">PUEBLO BELLO </t>
  </si>
  <si>
    <t>PUEBLOBELLO</t>
  </si>
  <si>
    <t>TRASV 4 # 5-162</t>
  </si>
  <si>
    <t>PDV LA PAZ</t>
  </si>
  <si>
    <t>Carretera Central</t>
  </si>
  <si>
    <t>PDV LOCAL CENTRAL 4 VIENTOS</t>
  </si>
  <si>
    <t xml:space="preserve">CRA 16#11B54 LOCAL 2 </t>
  </si>
  <si>
    <t>PDV CENTRO</t>
  </si>
  <si>
    <t>NUEVO CODAZZI</t>
  </si>
  <si>
    <t>MZ 5 CASA 1</t>
  </si>
  <si>
    <t>CM VARIEDADES KATERINE</t>
  </si>
  <si>
    <t>MZ 16 CASA 26</t>
  </si>
  <si>
    <t>PDV VILLA MIRIAN</t>
  </si>
  <si>
    <t xml:space="preserve">CARRERA 14# 8A-100 LOCAL 2  </t>
  </si>
  <si>
    <t>PDV ANTIGUO CDA COPEY</t>
  </si>
  <si>
    <t>EL COPEY</t>
  </si>
  <si>
    <t>CALLE  5 # 7 - 49</t>
  </si>
  <si>
    <t>PDV BETPLAY VIA LA PALMA</t>
  </si>
  <si>
    <t>CRA 7 # 15 - 04</t>
  </si>
  <si>
    <t>CM BETPLAY CAMPO SERRANO</t>
  </si>
  <si>
    <t xml:space="preserve">manzana 1 local 17 </t>
  </si>
  <si>
    <t>PDV TIERRA PROMETIDA</t>
  </si>
  <si>
    <t>CALLE 6 N 8-57 CORREGIMIENTO</t>
  </si>
  <si>
    <t>PDV LA MINA</t>
  </si>
  <si>
    <t xml:space="preserve"> CrA 6 # 10A-17</t>
  </si>
  <si>
    <t>CM CAÑAHUATE</t>
  </si>
  <si>
    <t>CRA 7 # 7 - 02</t>
  </si>
  <si>
    <t>CM BARAHOJA 2</t>
  </si>
  <si>
    <t>CLL 6 # 6-115</t>
  </si>
  <si>
    <t>PDV CENTRO LA PAZ</t>
  </si>
  <si>
    <t>Cra 18 # 18-62</t>
  </si>
  <si>
    <t>PDV EL CRUCE</t>
  </si>
  <si>
    <t>Calle 1 # 4-07 mandinguilla</t>
  </si>
  <si>
    <t>PDV MANDIGUILLA</t>
  </si>
  <si>
    <t>CARRERA 4 # 21-03 ESQUINA</t>
  </si>
  <si>
    <t>CDA LA CUARTA</t>
  </si>
  <si>
    <t>CALLE 7C N 19D 07 LOS MUSICOS</t>
  </si>
  <si>
    <t>CM TRES POSTE</t>
  </si>
  <si>
    <t>CRA 5 # 4-10</t>
  </si>
  <si>
    <t>CM MI FUTURO LA PAZ</t>
  </si>
  <si>
    <t>Cra 10 # 12-34</t>
  </si>
  <si>
    <t>PDV PRINCIPAL LA MINA</t>
  </si>
  <si>
    <t>Cr5#11-1</t>
  </si>
  <si>
    <t>PDV DON TOBIAS</t>
  </si>
  <si>
    <t>Calle 5 # 12-40 El cruce rural</t>
  </si>
  <si>
    <t>PDV EL CRUCE CHIRIGUANA</t>
  </si>
  <si>
    <t>TRANSVERSAL 25A # 16C -03</t>
  </si>
  <si>
    <t>PDV LA 25</t>
  </si>
  <si>
    <t xml:space="preserve">CR 18D CLL 20-7 </t>
  </si>
  <si>
    <t>PDV LA CEIBA</t>
  </si>
  <si>
    <t xml:space="preserve">carrera 5a # 44a- 07 </t>
  </si>
  <si>
    <t>PDV LOS MILAGROS</t>
  </si>
  <si>
    <t>CALLE 2 # 3 - 83</t>
  </si>
  <si>
    <t>CM EL CONTENTO</t>
  </si>
  <si>
    <t>KDX 88</t>
  </si>
  <si>
    <t>CM PALENQUILLO</t>
  </si>
  <si>
    <t>CALLE 8 # 11 - 61</t>
  </si>
  <si>
    <t>CM LA ESTACION</t>
  </si>
  <si>
    <t>CRA 11 # 19C-2</t>
  </si>
  <si>
    <t>PDV LA GRANJA</t>
  </si>
  <si>
    <t>Calle 16c N 35-15 la victoria</t>
  </si>
  <si>
    <t>CDA BELLA VISTA</t>
  </si>
  <si>
    <t>CARRERA 4 # 7-53</t>
  </si>
  <si>
    <t xml:space="preserve">PDV EL PARQUE </t>
  </si>
  <si>
    <t>KDX 144</t>
  </si>
  <si>
    <t>CM INTERPLAN</t>
  </si>
  <si>
    <t xml:space="preserve">CALLE 10# 23-26 </t>
  </si>
  <si>
    <t>PDV HOSPITAL COPEY</t>
  </si>
  <si>
    <t>CALLE 10 CARRETERA PPAL ESQUINA</t>
  </si>
  <si>
    <t>PDV LA POLICIA</t>
  </si>
  <si>
    <t>CALLE 10 # 35 - 29</t>
  </si>
  <si>
    <t>CM EL BOSQUE</t>
  </si>
  <si>
    <t>CALLE 10 34 - 58</t>
  </si>
  <si>
    <t>CM GALAN</t>
  </si>
  <si>
    <t>Calle 5 # 8 - 24</t>
  </si>
  <si>
    <t>PDV LA PIRAGUA</t>
  </si>
  <si>
    <t>CARRERA 4 # 34-34 APTO 01</t>
  </si>
  <si>
    <t>PDV LOS COCOS</t>
  </si>
  <si>
    <t xml:space="preserve">CALLE 14 N 17A-05 ALFONSO LOPEZ </t>
  </si>
  <si>
    <t>PDV ALTA COMPLEJIDAD</t>
  </si>
  <si>
    <t>CALLE 5 CRA 7 N 7-33 CORREGIENTO</t>
  </si>
  <si>
    <t>PDV GUACOCHE</t>
  </si>
  <si>
    <t>Calle 18 A #34 A 05</t>
  </si>
  <si>
    <t>PDV SAN FRANCISCO DE PAULA</t>
  </si>
  <si>
    <t>CLL 4 # 1-52</t>
  </si>
  <si>
    <t>CM VARAS BLANCA</t>
  </si>
  <si>
    <t>CL 10 N 35A -08</t>
  </si>
  <si>
    <t xml:space="preserve">AGUACHICA SAN EDUARDO </t>
  </si>
  <si>
    <t xml:space="preserve">TRANSVERSAL 30 #18A - 14 </t>
  </si>
  <si>
    <t>CM MI FUTURO LA SABANA</t>
  </si>
  <si>
    <t xml:space="preserve">CALLE 8 # 14-10 LOCAL 3 </t>
  </si>
  <si>
    <t xml:space="preserve">EL COPEY </t>
  </si>
  <si>
    <t xml:space="preserve"> CRA 32 # 31- 58 </t>
  </si>
  <si>
    <t xml:space="preserve">PDV 1° DE MAYO </t>
  </si>
  <si>
    <t>CL 18A # 36 - 5</t>
  </si>
  <si>
    <t>PDV LA VICTORIA</t>
  </si>
  <si>
    <t>CL 5 N 17-39</t>
  </si>
  <si>
    <t>CRA 4 1D 25 LOC 2 VILLA FANNY</t>
  </si>
  <si>
    <t>PDV LOCAL 1° DE MAYO</t>
  </si>
  <si>
    <t xml:space="preserve">CRA 9 CON CALLE 13 A LOCAL 4 CAÑAHUATE </t>
  </si>
  <si>
    <t>PDV LA NOVENA</t>
  </si>
  <si>
    <t>CL 5 9 - 67</t>
  </si>
  <si>
    <t>PDV BETPLAY PELAYA</t>
  </si>
  <si>
    <t>CALLE 8 # 16-87</t>
  </si>
  <si>
    <t>PDV EL MAGO</t>
  </si>
  <si>
    <t xml:space="preserve">Calle 19b 6b 45 </t>
  </si>
  <si>
    <t>CM TIENDA ZAPATOCA</t>
  </si>
  <si>
    <t>CALLE 7 # 18-17</t>
  </si>
  <si>
    <t>PDV LA VARIANTE</t>
  </si>
  <si>
    <t xml:space="preserve">Manzana 51 casa 1 local  2 </t>
  </si>
  <si>
    <t>PDV URBANIZACION BELLA VISTA</t>
  </si>
  <si>
    <t>calle 4 # 5-15</t>
  </si>
  <si>
    <t>CM MEDELLIN</t>
  </si>
  <si>
    <t xml:space="preserve">CRA 20 # 22C- 04 </t>
  </si>
  <si>
    <t>PDV PARQUE PRIMERO DE MAYO</t>
  </si>
  <si>
    <t xml:space="preserve"> CARRERA 10 # 14-05</t>
  </si>
  <si>
    <t>PDV TOTTO</t>
  </si>
  <si>
    <t>CLL 6 # 6-42</t>
  </si>
  <si>
    <t xml:space="preserve">LA PAZ </t>
  </si>
  <si>
    <t xml:space="preserve"> Cl. 17 #7a-05</t>
  </si>
  <si>
    <t>PDV CINCO ESQUINA</t>
  </si>
  <si>
    <t>Carrera 19 A - # 19</t>
  </si>
  <si>
    <t xml:space="preserve">PDV ESTACIÓN LA ESMERALDA </t>
  </si>
  <si>
    <t>CRA 15 CARRETERA PRINCIPAL</t>
  </si>
  <si>
    <t>CM MUNDO ESTUDIANTIL</t>
  </si>
  <si>
    <t xml:space="preserve">calle 8 # 6A-81 el carmen </t>
  </si>
  <si>
    <t>PDV LA TRINCHERA</t>
  </si>
  <si>
    <t>CALLE 3  N 4-5  CORREGIMIENTO</t>
  </si>
  <si>
    <t>CM VARIEDAD J Y G</t>
  </si>
  <si>
    <t>CRA 11 11 - 43</t>
  </si>
  <si>
    <t xml:space="preserve">CM ANGIE </t>
  </si>
  <si>
    <t>CALLE 13 # 7-18</t>
  </si>
  <si>
    <t xml:space="preserve">CM LIBERTAD </t>
  </si>
  <si>
    <t>CARRERA 21 # 6A-05</t>
  </si>
  <si>
    <t>PDV SAN JORGE</t>
  </si>
  <si>
    <t>CALLE 2 N 6-95 CORREGIMIENTO</t>
  </si>
  <si>
    <t>CM ALTO DE LA VUELTA</t>
  </si>
  <si>
    <t>MZN 6 CASA 12 LOS CORTIJOS</t>
  </si>
  <si>
    <t>CM OLIMPICA LOS CORTIJOS</t>
  </si>
  <si>
    <t xml:space="preserve">pdv centro comercial mayales </t>
  </si>
  <si>
    <t>PDV CENTRO COMERCIAL MAYALES</t>
  </si>
  <si>
    <t>CARRERA 4 # 27-15</t>
  </si>
  <si>
    <t xml:space="preserve">PDV LA CUARTA </t>
  </si>
  <si>
    <t>CRA 18 # 1-54</t>
  </si>
  <si>
    <t>CM LA 18</t>
  </si>
  <si>
    <t>CL 3 N 3-43</t>
  </si>
  <si>
    <t>CM MAYE</t>
  </si>
  <si>
    <t>rosario norte 1 local 2</t>
  </si>
  <si>
    <t>CM SIERRA NEVADA</t>
  </si>
  <si>
    <t>CRA 4 #19a-56</t>
  </si>
  <si>
    <t>PDV CUARTA CON 19</t>
  </si>
  <si>
    <t>CARRERA 5 # 30B-35</t>
  </si>
  <si>
    <t>PDV ALGARROBILLO</t>
  </si>
  <si>
    <t>CALLE 8 # 14-90</t>
  </si>
  <si>
    <t>CM MILETEE</t>
  </si>
  <si>
    <t>CL 7 N 18-4</t>
  </si>
  <si>
    <t>PDV OCTAVA CON 17</t>
  </si>
  <si>
    <t>Cra 18 # 17-05</t>
  </si>
  <si>
    <t>PDV LA VIA BOSCONIA</t>
  </si>
  <si>
    <t xml:space="preserve">CRA 19 13B BIS 25 ALFONSO LOPEZ </t>
  </si>
  <si>
    <t>PDV CASD</t>
  </si>
  <si>
    <t>CARRETERA CENTRAL CORREGIMIENTO LLERASCA</t>
  </si>
  <si>
    <t>CM LLERASCA</t>
  </si>
  <si>
    <t>CRA 11 # 13C -85</t>
  </si>
  <si>
    <t>PDV ONCE CON 14</t>
  </si>
  <si>
    <t xml:space="preserve">CRA 2#8-29 </t>
  </si>
  <si>
    <t>CDA CASACARA</t>
  </si>
  <si>
    <t>CRA 10B N 16A-61</t>
  </si>
  <si>
    <t>CM VERONIS</t>
  </si>
  <si>
    <t>CALLE 3 – 10A 07</t>
  </si>
  <si>
    <t>PDV BAJA SUAVE</t>
  </si>
  <si>
    <t xml:space="preserve">Calle 9a 22-139 </t>
  </si>
  <si>
    <t>PDV DIAGONAL 23</t>
  </si>
  <si>
    <t>CRA 23 # 29 - 15</t>
  </si>
  <si>
    <t>CM DONDE ENA</t>
  </si>
  <si>
    <t xml:space="preserve">CALLE 50 # 27 - 07 </t>
  </si>
  <si>
    <t>PDV DON CARMELO</t>
  </si>
  <si>
    <t>DIAGONAL 1 # 5-28</t>
  </si>
  <si>
    <t>PDV ANTIGUO CDA LA JAGUA</t>
  </si>
  <si>
    <t xml:space="preserve">CALLE 28 # 22- 36 </t>
  </si>
  <si>
    <t>CM MIL DETALLES ANTHO</t>
  </si>
  <si>
    <t>Calle 15 # 5-42</t>
  </si>
  <si>
    <t>CM VARIEDADES MARIELNET</t>
  </si>
  <si>
    <t>Calle 5c#37-07</t>
  </si>
  <si>
    <t>PDV FRANCISCO EL HOMBRE</t>
  </si>
  <si>
    <t>Calle 7 # 3-56</t>
  </si>
  <si>
    <t>PDV ANTIGUO CDA ASTREA</t>
  </si>
  <si>
    <t>Kra 9 # 13N-23 barrio coyupe</t>
  </si>
  <si>
    <t>CM COYUPE</t>
  </si>
  <si>
    <t>Kra 20 # 21-27 Barrio el carmen</t>
  </si>
  <si>
    <t>PDV EL MERCADO</t>
  </si>
  <si>
    <t>CL 18 A2  - 36 BIS -18</t>
  </si>
  <si>
    <t>PDV VILLA TAXI</t>
  </si>
  <si>
    <t xml:space="preserve">CRA 1D 13A 97 EL PARAISO </t>
  </si>
  <si>
    <t>CM SAY YOYO</t>
  </si>
  <si>
    <t>manzana 70 🏡casa 32</t>
  </si>
  <si>
    <t>CM LA CANASTA BELLAVISTA</t>
  </si>
  <si>
    <t>KDX 55-1</t>
  </si>
  <si>
    <t>CM MOTECITOS 2</t>
  </si>
  <si>
    <t>CALLE 3 # 7-145</t>
  </si>
  <si>
    <t>CM VARIEDADES LA ESPERANZA</t>
  </si>
  <si>
    <t xml:space="preserve">CALLE 13 #10-6 </t>
  </si>
  <si>
    <t>PDV SANTA RITA</t>
  </si>
  <si>
    <t>Calle 1 carr 25 - 85 local 16</t>
  </si>
  <si>
    <t>CDA VALLEDUPAR SIERRA NEVADA</t>
  </si>
  <si>
    <t xml:space="preserve"> CALLE 28 # 4H-16</t>
  </si>
  <si>
    <t>PDV 28 CON CUARTA</t>
  </si>
  <si>
    <t>CRA 19 #16C - 12</t>
  </si>
  <si>
    <t>PDV KZ LOS GALLOS</t>
  </si>
  <si>
    <t>Kra 23 # 21-15 Barrio el carmen</t>
  </si>
  <si>
    <t>CM EL NEGRO 2</t>
  </si>
  <si>
    <t>CRA 15 N 9-45 APTO 2 SAN JOAQUIN</t>
  </si>
  <si>
    <t>PDV SAN JOAQUIN</t>
  </si>
  <si>
    <t>CL 21 M 126</t>
  </si>
  <si>
    <t>CM LOS CRISTALES</t>
  </si>
  <si>
    <t xml:space="preserve">Calle 11a - 16 </t>
  </si>
  <si>
    <t>CM REBAJA PLUS 10 VALLEDUPAR</t>
  </si>
  <si>
    <t>CRA 16#12-04</t>
  </si>
  <si>
    <t>CM LA REBAJA CODAZZI N° 2</t>
  </si>
  <si>
    <t xml:space="preserve">Carrera 4 #20B-02 </t>
  </si>
  <si>
    <t>PDV SANTO DOMINGO</t>
  </si>
  <si>
    <t>CALLE 14 # 7 - 76</t>
  </si>
  <si>
    <t xml:space="preserve">CM PAGOS SAN MARTIN </t>
  </si>
  <si>
    <t>CALLE 6 # 3 -26</t>
  </si>
  <si>
    <t>CM VARIEDADES VALETHISA</t>
  </si>
  <si>
    <t>MZ M CASA 4</t>
  </si>
  <si>
    <t>CM ACAPULCO</t>
  </si>
  <si>
    <t xml:space="preserve">calle 39 # 5b - 14 </t>
  </si>
  <si>
    <t>PDV PANAMA</t>
  </si>
  <si>
    <t xml:space="preserve">manzana 5 casa 49 </t>
  </si>
  <si>
    <t>PDV DONDE YISE</t>
  </si>
  <si>
    <t xml:space="preserve">MANZANA 5 CASA 1 </t>
  </si>
  <si>
    <t>PDV VILLA HAIDY</t>
  </si>
  <si>
    <t>CRA 7 #19c-9 local 01</t>
  </si>
  <si>
    <t>PDV EL BOLICHE</t>
  </si>
  <si>
    <t>Kra 5 23-73</t>
  </si>
  <si>
    <t>PDV OLIMPICA AGUACHICA</t>
  </si>
  <si>
    <t xml:space="preserve">Trav 30 Nro 11B- 118 </t>
  </si>
  <si>
    <t>PDV 20 DE JULIO</t>
  </si>
  <si>
    <t>CALLE 8 # 1-71</t>
  </si>
  <si>
    <t>CALLE 12 N 16-54 SAN JOAQUIN</t>
  </si>
  <si>
    <t>PDV CALLE 12</t>
  </si>
  <si>
    <t>KDX 251-240</t>
  </si>
  <si>
    <t>CM SAN ISIDRO</t>
  </si>
  <si>
    <t>CALLE 8 ENTRE CRA 10 Y 11</t>
  </si>
  <si>
    <t xml:space="preserve">CM LOS PANAS #2 </t>
  </si>
  <si>
    <t>Manzana 162 casa 15 apart 101</t>
  </si>
  <si>
    <t xml:space="preserve">PDV DON ALBERTO </t>
  </si>
  <si>
    <t>Cra. 35 #9-2 a 9-132</t>
  </si>
  <si>
    <t>CM GALERIA 2</t>
  </si>
  <si>
    <t xml:space="preserve">CALLE 8 ENTRE CRA 14 Y 15 </t>
  </si>
  <si>
    <t>PDV LA OCHO</t>
  </si>
  <si>
    <t>CARRERA 11 # 2C-76</t>
  </si>
  <si>
    <t>CM EL PARAISO</t>
  </si>
  <si>
    <t>CR 4 N 6A-32</t>
  </si>
  <si>
    <t>CM WISTON</t>
  </si>
  <si>
    <t>CALLE 22 23-36</t>
  </si>
  <si>
    <t>PDV MIL DETALLES</t>
  </si>
  <si>
    <t xml:space="preserve">CALLE 6C N 14-75 LOS ANGELES </t>
  </si>
  <si>
    <t>CM CONVISIONES VICKY</t>
  </si>
  <si>
    <t>CALLE 23a 30-52</t>
  </si>
  <si>
    <t>TAT DIOS CON NOSOTROS</t>
  </si>
  <si>
    <t>TAT</t>
  </si>
  <si>
    <t xml:space="preserve"> CARRERA 21</t>
  </si>
  <si>
    <t>PDV LOS MURITOS CASETA</t>
  </si>
  <si>
    <t>Calle 4 # 3-21</t>
  </si>
  <si>
    <t xml:space="preserve">PDV ARJONA CENTRAL </t>
  </si>
  <si>
    <t>CRA 16 CALLE 9A ESQUINA</t>
  </si>
  <si>
    <t>CM EL MONO</t>
  </si>
  <si>
    <t xml:space="preserve">CALLE 11 CRA 9 </t>
  </si>
  <si>
    <t>PDV CALLE 11</t>
  </si>
  <si>
    <t xml:space="preserve">MANZANA 10 BLOQUE K APTO 104 </t>
  </si>
  <si>
    <t>CM LA CRECIENTE</t>
  </si>
  <si>
    <t>TRANS 8 # 11-3</t>
  </si>
  <si>
    <t>CM TIENDA LIÑAN</t>
  </si>
  <si>
    <t>TRANSVERSAL 25A #20 - 04</t>
  </si>
  <si>
    <t>PDV COLEGIO GALAN LA 25</t>
  </si>
  <si>
    <t>DIAGONAL 18 B # 22 - 75</t>
  </si>
  <si>
    <t>PDV DULCE TENTACION</t>
  </si>
  <si>
    <t>CL 23 #6-12</t>
  </si>
  <si>
    <t>TAT SANDRA LA OCTAVA</t>
  </si>
  <si>
    <t>CR 33 N 2-06</t>
  </si>
  <si>
    <t>PDV LA 33</t>
  </si>
  <si>
    <t>CL 5 N 6-82</t>
  </si>
  <si>
    <t>PDV PRINCIPAL LA QUINTA</t>
  </si>
  <si>
    <t>CALLE 1 CENTRO</t>
  </si>
  <si>
    <t>CM INTERNET TATY</t>
  </si>
  <si>
    <t>CRA 13 N 2-31</t>
  </si>
  <si>
    <t>CM WOLFAIN</t>
  </si>
  <si>
    <t xml:space="preserve">Calle 1 kra 1-43 la estacion </t>
  </si>
  <si>
    <t>CM LA ESTACION CHIRIGUANA</t>
  </si>
  <si>
    <t xml:space="preserve">CALLE 25A # 6-55 </t>
  </si>
  <si>
    <t>PDV 5 DE NOVIEMBRE</t>
  </si>
  <si>
    <t>Calle 8 #6-91</t>
  </si>
  <si>
    <t>PDV ALTOS DE PIMIENTA</t>
  </si>
  <si>
    <t>CALLE 2A # 8-12</t>
  </si>
  <si>
    <t>CM EL REY</t>
  </si>
  <si>
    <t>CRA 15 CON CALLE 9 ESQUINA</t>
  </si>
  <si>
    <t>TAT CENTRO CURUMANI</t>
  </si>
  <si>
    <t xml:space="preserve">Manzana 12 Casa 18 </t>
  </si>
  <si>
    <t>CM VARIEDADES JANIS</t>
  </si>
  <si>
    <t>calle 4 4-41</t>
  </si>
  <si>
    <t>PDV GUAYMARAL</t>
  </si>
  <si>
    <t xml:space="preserve">CARRERA 14 # 13-170 </t>
  </si>
  <si>
    <t xml:space="preserve"> CRA 7#4-40</t>
  </si>
  <si>
    <t>PDV LOS VENADOS1</t>
  </si>
  <si>
    <t>BARRIO 1 DE MAYO</t>
  </si>
  <si>
    <t>TAT DONDE NUBIA</t>
  </si>
  <si>
    <t xml:space="preserve">calle 5 kra 7-4 calle central </t>
  </si>
  <si>
    <t>PDV SALOA</t>
  </si>
  <si>
    <t>Kra 4 # 13-10</t>
  </si>
  <si>
    <t>CM SEBAS ASTREA</t>
  </si>
  <si>
    <t>calle central sempegua</t>
  </si>
  <si>
    <t>CM SEMPEGUA</t>
  </si>
  <si>
    <t>CALLE 2 CRA 3-60</t>
  </si>
  <si>
    <t xml:space="preserve">CM ARENAS BLANCAS </t>
  </si>
  <si>
    <t xml:space="preserve"> calle 16 con krr 20 # 2004</t>
  </si>
  <si>
    <t>CM DROGUERIA CENTRAL DEL VALLE</t>
  </si>
  <si>
    <t>Cra 10 # 5-05 B. acueducto</t>
  </si>
  <si>
    <t>CM TIENDA LORENA</t>
  </si>
  <si>
    <t>Carrera 20 #13Bbis -03</t>
  </si>
  <si>
    <t>CM VALLEDUPAR N°10</t>
  </si>
  <si>
    <t>Cr5#10-48</t>
  </si>
  <si>
    <t>TAT VARIEDADES HERMANOS VERA</t>
  </si>
  <si>
    <t>Cr5#10-54</t>
  </si>
  <si>
    <t>TAT VARIEDADES NABELIS</t>
  </si>
  <si>
    <t>CALLE 8 # 1-80</t>
  </si>
  <si>
    <t>TAT VARIEDADES TAIRA</t>
  </si>
  <si>
    <t>CL 17 N 16-36</t>
  </si>
  <si>
    <t>TAT VIVI</t>
  </si>
  <si>
    <t xml:space="preserve">kra 1 # 1-15 candelaria </t>
  </si>
  <si>
    <t>PDV CANDELARIA</t>
  </si>
  <si>
    <t>CL 7A N 8-11</t>
  </si>
  <si>
    <t>CM PANADERIA NICOLL</t>
  </si>
  <si>
    <t>CL 2 N 26-09</t>
  </si>
  <si>
    <t>PDV LA SEGUNDA CON VENTISEIS</t>
  </si>
  <si>
    <t>CARRERA 35 # 18 LOCAL 04</t>
  </si>
  <si>
    <t>PDV AVENIDA 450 AÑOS</t>
  </si>
  <si>
    <t>CRA 12 # 9-126</t>
  </si>
  <si>
    <t xml:space="preserve">CM MI HERMANO Y YO </t>
  </si>
  <si>
    <t>CR 19 N 13-26</t>
  </si>
  <si>
    <t xml:space="preserve">CM DONDE LA SEÑO MILVA </t>
  </si>
  <si>
    <t>Cr13#10-54</t>
  </si>
  <si>
    <t xml:space="preserve">CM DELICIAS NUBIA </t>
  </si>
  <si>
    <t>calle 5 # 4-74</t>
  </si>
  <si>
    <t>CM IBIRICO</t>
  </si>
  <si>
    <t>CL 5 N 5-73</t>
  </si>
  <si>
    <t>TAT TRADICION</t>
  </si>
  <si>
    <t>CRA 16 #13-105</t>
  </si>
  <si>
    <t xml:space="preserve">CM MERK MAS </t>
  </si>
  <si>
    <t>CALLE 4 #8-48</t>
  </si>
  <si>
    <t>PDV ANTIGUO CDA SANDIEGO</t>
  </si>
  <si>
    <t>CALLE 20 24-55</t>
  </si>
  <si>
    <t>PDV FERRETERIA CODAZZI</t>
  </si>
  <si>
    <t xml:space="preserve">sector 1 1 mz 5 casa 27 </t>
  </si>
  <si>
    <t xml:space="preserve">PDV LA MANPANA </t>
  </si>
  <si>
    <t>CR 11 CL 8-98</t>
  </si>
  <si>
    <t>PDV AVENIDA LOS ESTUDIANTES</t>
  </si>
  <si>
    <t>CALLE 3A # 6-13</t>
  </si>
  <si>
    <t>CM EL FLACO</t>
  </si>
  <si>
    <t>Carrera 44 #5B-30</t>
  </si>
  <si>
    <t xml:space="preserve">CM MARILIN </t>
  </si>
  <si>
    <t>CALLE 2N # CALLE 8A-68</t>
  </si>
  <si>
    <t>PDV LA CIUDADELA EL PASO</t>
  </si>
  <si>
    <t xml:space="preserve">CARRERA 8 # 4A-09 </t>
  </si>
  <si>
    <t>PDV LA TRONCAL DEL COPEY</t>
  </si>
  <si>
    <t xml:space="preserve">calle 2 # 5-70 el guamo </t>
  </si>
  <si>
    <t>CM EL GUAMO</t>
  </si>
  <si>
    <t>MZ 4 CASA 5</t>
  </si>
  <si>
    <t xml:space="preserve">CM LA PISTA </t>
  </si>
  <si>
    <t>CALLE 1A- 136</t>
  </si>
  <si>
    <t>PDV ANTIGUO CDA MANAURE</t>
  </si>
  <si>
    <t xml:space="preserve">M 4 casa 96 </t>
  </si>
  <si>
    <t>CM BRISAS DE LA POPA 1</t>
  </si>
  <si>
    <t>DIAGONAL 18D # 24 - 62</t>
  </si>
  <si>
    <t xml:space="preserve">CM MARIA CELESTE </t>
  </si>
  <si>
    <t xml:space="preserve">Calle 7a#29-100 </t>
  </si>
  <si>
    <t>CM TIENDA EL PORTAL DE LA NEVADA</t>
  </si>
  <si>
    <t xml:space="preserve">CRA 16#12-17 APT 1 </t>
  </si>
  <si>
    <t>PDV PERIJA</t>
  </si>
  <si>
    <t xml:space="preserve">calle 17 bis # 3154 </t>
  </si>
  <si>
    <t xml:space="preserve">CM EL PROGRESO MILITARES </t>
  </si>
  <si>
    <t>CALLE 3#4- 46</t>
  </si>
  <si>
    <t>PDV MEDIA LUNA</t>
  </si>
  <si>
    <t xml:space="preserve">CLL 20 # 13-53 </t>
  </si>
  <si>
    <t xml:space="preserve">PDV ENTRADA MERCADO </t>
  </si>
  <si>
    <t>KDX 36-3</t>
  </si>
  <si>
    <t xml:space="preserve">CM MOSQUITO 2 </t>
  </si>
  <si>
    <t>MANZANA 5 - CASA 40</t>
  </si>
  <si>
    <t xml:space="preserve">PDV SECTOR 1 POPULANDIA </t>
  </si>
  <si>
    <t>Manzana j casa 1el portal</t>
  </si>
  <si>
    <t>CM LA MAMPANA BOSCONIA</t>
  </si>
  <si>
    <t xml:space="preserve"> CALLE 5 # 2-46</t>
  </si>
  <si>
    <t xml:space="preserve">PDV COMFACESAR LA LOMA </t>
  </si>
  <si>
    <t xml:space="preserve">CARRERA 14 #4B-44 </t>
  </si>
  <si>
    <t>CM D1</t>
  </si>
  <si>
    <t>MZ i CASA 12</t>
  </si>
  <si>
    <t>CM KELLY</t>
  </si>
  <si>
    <t>Calle 3 # 6-35B las Mercedes</t>
  </si>
  <si>
    <t>CM JARRY PE</t>
  </si>
  <si>
    <t>CALLE 23 # 6A-04</t>
  </si>
  <si>
    <t>CM TIENDA LOS PELAOS</t>
  </si>
  <si>
    <t>CALLE 3 CON CRA 1</t>
  </si>
  <si>
    <t>CM SAN SEBASTIAN 2</t>
  </si>
  <si>
    <t>Calle 3a #  8bis -25</t>
  </si>
  <si>
    <t>CM LAS DAMAS</t>
  </si>
  <si>
    <t>CL 14 N 10C- 45</t>
  </si>
  <si>
    <t xml:space="preserve">CM FUSION </t>
  </si>
  <si>
    <t>TRANSVERSAL 21 #18B - 44</t>
  </si>
  <si>
    <t>CM DONDE YENNIS</t>
  </si>
  <si>
    <t>MZ 5 CASA 14</t>
  </si>
  <si>
    <t>PDV LA ESQUINA MANAURE</t>
  </si>
  <si>
    <t xml:space="preserve">carrera 36 #17-37 </t>
  </si>
  <si>
    <t>CM EL PAISA</t>
  </si>
  <si>
    <t>CRA 16 21-37</t>
  </si>
  <si>
    <t>PDV LA 22</t>
  </si>
  <si>
    <t>CRA 16#6-2-95</t>
  </si>
  <si>
    <t>PDV EL PUENTECITO</t>
  </si>
  <si>
    <t>CRA 15 CON CALLE 14 ESQUINA</t>
  </si>
  <si>
    <t>CM SOFIA</t>
  </si>
  <si>
    <t>CALLE 2 # 3-73</t>
  </si>
  <si>
    <t>PDV LAS PALMITAS</t>
  </si>
  <si>
    <t>CRA 9 # 10-56</t>
  </si>
  <si>
    <t>PDV FRAY JOAQUIN</t>
  </si>
  <si>
    <t>CLL 3  CASA 3-95</t>
  </si>
  <si>
    <t>PDV LAS CASITAS</t>
  </si>
  <si>
    <t>CALLE 1 CARRERA 1-1</t>
  </si>
  <si>
    <t>PDV LOS BRASILES</t>
  </si>
  <si>
    <t>CALLE 10#13B 18</t>
  </si>
  <si>
    <t>PDV LA 10</t>
  </si>
  <si>
    <t>CRA 16 27-84</t>
  </si>
  <si>
    <t>CM LA GRAN PARADA</t>
  </si>
  <si>
    <t xml:space="preserve">CALLE 11B 9A 02 </t>
  </si>
  <si>
    <t>CM VALERY</t>
  </si>
  <si>
    <t>CALLE 9 # 12-70</t>
  </si>
  <si>
    <t>TAT LA PITO</t>
  </si>
  <si>
    <t xml:space="preserve">Manzana E casa 16b </t>
  </si>
  <si>
    <t>PDV COMFACESAR1</t>
  </si>
  <si>
    <t>CRA 30 #18B - 23</t>
  </si>
  <si>
    <t>TAT LA POLA</t>
  </si>
  <si>
    <t>DIAGONAL 21 #24-84 LOCAL 2</t>
  </si>
  <si>
    <t>PDV COOTRANSLOMA FUNDADORES</t>
  </si>
  <si>
    <t xml:space="preserve">CALLE 13#7A26  </t>
  </si>
  <si>
    <t>CM VARIEDADES AIDEE</t>
  </si>
  <si>
    <t>Calle 7E #41-79</t>
  </si>
  <si>
    <t>PDV 3 ESQUINA</t>
  </si>
  <si>
    <t xml:space="preserve">Calle 14 carr 21A - 7 apt 3 </t>
  </si>
  <si>
    <t>PDV OLGA SUAREZ</t>
  </si>
  <si>
    <t>Cr5#13-1-19</t>
  </si>
  <si>
    <t>PDV LA Y</t>
  </si>
  <si>
    <t>MZ H - CASA 11</t>
  </si>
  <si>
    <t>PDV EL PARQUE DE VILLA TAXI</t>
  </si>
  <si>
    <t>CR 9 N 9- 68</t>
  </si>
  <si>
    <t>CM MARY</t>
  </si>
  <si>
    <t>CALLE 6N 19 A-02  LOS ,USICOS</t>
  </si>
  <si>
    <t>CM AK EXPRESS</t>
  </si>
  <si>
    <t>CRA 17a 24-89</t>
  </si>
  <si>
    <t>PDV MERCADO CODAZZI</t>
  </si>
  <si>
    <t>Calle 27 # 18</t>
  </si>
  <si>
    <t xml:space="preserve">PDV DONDE LILIA </t>
  </si>
  <si>
    <t xml:space="preserve">CARRERA 14 #14-61 </t>
  </si>
  <si>
    <t>PDV 16 DE JULIO</t>
  </si>
  <si>
    <t>CRA 16A#11B78 APT 4</t>
  </si>
  <si>
    <t>CDA NUEVO CODAZZI</t>
  </si>
  <si>
    <t xml:space="preserve">Calle 11 # 7 - 40B Higueron </t>
  </si>
  <si>
    <t>CM FERREMOTO LA 11</t>
  </si>
  <si>
    <t>CLL 7 # 6-66</t>
  </si>
  <si>
    <t>PDV TARIMA JORGE OÑATE</t>
  </si>
  <si>
    <t>Sector 1 Manzana 7-4 APTO 1</t>
  </si>
  <si>
    <t>CM DROGUERIA MARCAS NY</t>
  </si>
  <si>
    <t>CLL 6 # 6-92</t>
  </si>
  <si>
    <t>TAT TS</t>
  </si>
  <si>
    <t>Calle 8 # 5A-4 Apto 01</t>
  </si>
  <si>
    <t>PDV ANTIGUO CDA CHIRIGUANA</t>
  </si>
  <si>
    <t>DIAGONAL 1 # 1-36</t>
  </si>
  <si>
    <t>PDV PRINCIPAL LA JAGUA</t>
  </si>
  <si>
    <t>CR 17 N 1B- 3</t>
  </si>
  <si>
    <t>CM RIVERA</t>
  </si>
  <si>
    <t xml:space="preserve">CARRERA 18E # 35 - 06 </t>
  </si>
  <si>
    <t>CM DROGUERIA VALLE SALUD</t>
  </si>
  <si>
    <t>CALLE 2 #4-56</t>
  </si>
  <si>
    <t>PDV ANTIGUO CDA EL PASO</t>
  </si>
  <si>
    <t>TRANSVERSAL 23 #20</t>
  </si>
  <si>
    <t>PDV TRANSV LA 23 FUNDADORES</t>
  </si>
  <si>
    <t xml:space="preserve">Manzana 89 casa 19 </t>
  </si>
  <si>
    <t>PDV DISTRIBUCIONES EVOPLAST</t>
  </si>
  <si>
    <t xml:space="preserve">CRA 6#10-50 </t>
  </si>
  <si>
    <t>CM ARCOIRIS</t>
  </si>
  <si>
    <t xml:space="preserve">CRA 22 # 24 02 </t>
  </si>
  <si>
    <t>PDV DONDE FRANKLIN</t>
  </si>
  <si>
    <t>CALLE 1</t>
  </si>
  <si>
    <t>TAT EL MAMEY</t>
  </si>
  <si>
    <t>Cll6#10b-31</t>
  </si>
  <si>
    <t>CM SIX JANUARY</t>
  </si>
  <si>
    <t>CALLE 19 # 21-47 EL CARMEN</t>
  </si>
  <si>
    <t xml:space="preserve">CM EL CARMEN </t>
  </si>
  <si>
    <t>CRA 4 # 4-03</t>
  </si>
  <si>
    <t>TAT MARIA TERESA</t>
  </si>
  <si>
    <t>CR 15 N 11- 18</t>
  </si>
  <si>
    <t>CM CENTRALES</t>
  </si>
  <si>
    <t>CALLE 11 # 20-38</t>
  </si>
  <si>
    <t>PDV ALTO PRADO</t>
  </si>
  <si>
    <t>CALLE 10A #11-88</t>
  </si>
  <si>
    <t xml:space="preserve">PDV ANTIGUO LA LOMA </t>
  </si>
  <si>
    <t>CLL 12 # 16A-2</t>
  </si>
  <si>
    <t>CM CELUCIONES</t>
  </si>
  <si>
    <t xml:space="preserve">CRA 19 # 24- 8 </t>
  </si>
  <si>
    <t>PDV YIRETH 1RO DE MAYO</t>
  </si>
  <si>
    <t xml:space="preserve">MANZANA 6 CASA 11A </t>
  </si>
  <si>
    <t>CM DOÑA CLARA</t>
  </si>
  <si>
    <t xml:space="preserve">CALLE 30 12A - 63 </t>
  </si>
  <si>
    <t>CM GRANERO IMPERIAL</t>
  </si>
  <si>
    <t>MZ 17CASA 14</t>
  </si>
  <si>
    <t>PDV JERUSALEM VILLA MIRIAM</t>
  </si>
  <si>
    <t>KDX 28 3</t>
  </si>
  <si>
    <t>CM LOMA DE CORREDOR</t>
  </si>
  <si>
    <t xml:space="preserve">CARRERA 22 # 9-.36 </t>
  </si>
  <si>
    <t>PDV EL PARAISO</t>
  </si>
  <si>
    <t>MZ 8 CASA 17</t>
  </si>
  <si>
    <t>PDV TRIBU DE JUDAT CASETA</t>
  </si>
  <si>
    <t>CL 10 N 31- 44</t>
  </si>
  <si>
    <t>PDV LA DECIMA</t>
  </si>
  <si>
    <t>CL 10N N 40- 42</t>
  </si>
  <si>
    <t>PDV LA CUARENTA</t>
  </si>
  <si>
    <t xml:space="preserve">CRR 18H # 56 - 11 </t>
  </si>
  <si>
    <t>CM TIENDA LA UNION</t>
  </si>
  <si>
    <t>CL 16A N 2A- 80</t>
  </si>
  <si>
    <t>PDV NUEVO AMANECER</t>
  </si>
  <si>
    <t>Kra 18 # 25</t>
  </si>
  <si>
    <t>PDV LOS ALMENDROS BOSCONIA</t>
  </si>
  <si>
    <t>Calle 4 #41-07</t>
  </si>
  <si>
    <t>CM VARIEDADES FRANKLIN JOSE</t>
  </si>
  <si>
    <t>Calle 10 #15a 57</t>
  </si>
  <si>
    <t>PDV 4 ESQUINAS</t>
  </si>
  <si>
    <t xml:space="preserve">CALLE 28 # 12A - 50 </t>
  </si>
  <si>
    <t xml:space="preserve">PDV CONCHA ACUSTICA </t>
  </si>
  <si>
    <t>CALLE5#6A138</t>
  </si>
  <si>
    <t>CM EDELMIRA</t>
  </si>
  <si>
    <t xml:space="preserve">CARRERA 20 # 39 - 46 </t>
  </si>
  <si>
    <t>CM AZAIROS VARIEDAD</t>
  </si>
  <si>
    <t xml:space="preserve">Cra 22 # 19-55 Barrio el carmen </t>
  </si>
  <si>
    <t>PDV EL CARMEN</t>
  </si>
  <si>
    <t>CARRERA 30 A #18B - 15</t>
  </si>
  <si>
    <t>TAT POLLO ISRA</t>
  </si>
  <si>
    <t>KDX 1 - 20 LOCAL 2</t>
  </si>
  <si>
    <t>CM VARIEDADES EMMANUEL</t>
  </si>
  <si>
    <t>CARRERA 7A # 25-195</t>
  </si>
  <si>
    <t>PDV POLICIA NACIONAL</t>
  </si>
  <si>
    <t xml:space="preserve">CALLE 7A N 19A-65 LOS MUSICOS </t>
  </si>
  <si>
    <t>PDV RAFAEL PUPO</t>
  </si>
  <si>
    <t>CRA 11C # 12-04</t>
  </si>
  <si>
    <t>CM IDEMA AGUACHICA</t>
  </si>
  <si>
    <t>Cra 6 # 10 a 17</t>
  </si>
  <si>
    <t>TAT LA LOMA</t>
  </si>
  <si>
    <t>CR 25#35-5</t>
  </si>
  <si>
    <t>TAT FUNDADORES</t>
  </si>
  <si>
    <t>CL 1A N 13-09</t>
  </si>
  <si>
    <t>CM 27 DE MARZO</t>
  </si>
  <si>
    <t>Calle 8 kra 8 casa 8-02</t>
  </si>
  <si>
    <t>PDV HOSPITAL CH</t>
  </si>
  <si>
    <t xml:space="preserve">CALLE 45 # 4A - 104 </t>
  </si>
  <si>
    <t>CM AMANECERES C45</t>
  </si>
  <si>
    <t xml:space="preserve">CALLE 1 # 4 - 03 </t>
  </si>
  <si>
    <t>PDV VALENCIA DE JESUS</t>
  </si>
  <si>
    <t xml:space="preserve">MANZANA 5 CASA 2 </t>
  </si>
  <si>
    <t>PDV EL EDEN</t>
  </si>
  <si>
    <t xml:space="preserve">calle 44 # 25b - 05 </t>
  </si>
  <si>
    <t>CM KALIPSO</t>
  </si>
  <si>
    <t>NOA MZN D CASA 13</t>
  </si>
  <si>
    <t>CM LUZ DARY</t>
  </si>
  <si>
    <t>CLL 6 # 6-23</t>
  </si>
  <si>
    <t>TAT PROVISIONES LA ABUE 2</t>
  </si>
  <si>
    <t>CRA 4 CL 1-18</t>
  </si>
  <si>
    <t>CM YULY</t>
  </si>
  <si>
    <t>CLL 10 N 35-54</t>
  </si>
  <si>
    <t>CM LISETH</t>
  </si>
  <si>
    <t>CALLE 25 11a-10</t>
  </si>
  <si>
    <t>CARRERA 7 # 24-82</t>
  </si>
  <si>
    <t>CM SAN FELIPE</t>
  </si>
  <si>
    <t>NOA CASA 2</t>
  </si>
  <si>
    <t>CM BRISA CESAR</t>
  </si>
  <si>
    <t>Calle 28 # 12-06 Barrio la marianera</t>
  </si>
  <si>
    <t>CM MISCELANEA BEATRIZ</t>
  </si>
  <si>
    <t>CRA 16 # 12-74</t>
  </si>
  <si>
    <t xml:space="preserve">TAT MALEJA </t>
  </si>
  <si>
    <t>CALLE 1 #6B-46</t>
  </si>
  <si>
    <t>CM PANADERIA DURAN</t>
  </si>
  <si>
    <t xml:space="preserve">CALLE 2 </t>
  </si>
  <si>
    <t xml:space="preserve">CM DOÑA MARTHA </t>
  </si>
  <si>
    <t>calle 11 #18-05</t>
  </si>
  <si>
    <t>TAT SEBANET</t>
  </si>
  <si>
    <t>CALLE 6 N 1-290 CORREGIMIENTO</t>
  </si>
  <si>
    <t>PDV LA VEGA</t>
  </si>
  <si>
    <t>CALLE 8 39-12</t>
  </si>
  <si>
    <t xml:space="preserve">TAT NUBIA </t>
  </si>
  <si>
    <t>CLL 5 CR 10-79</t>
  </si>
  <si>
    <t xml:space="preserve">PDV LA PLAZA </t>
  </si>
  <si>
    <t>Calle 11 #15/07</t>
  </si>
  <si>
    <t xml:space="preserve">CM EL SEMAFORO PB </t>
  </si>
  <si>
    <t xml:space="preserve">Cra 19d #/12-05 </t>
  </si>
  <si>
    <t xml:space="preserve">PDV CASETA LA BUENA FE </t>
  </si>
  <si>
    <t>calle 16#31-17</t>
  </si>
  <si>
    <t>PDV LA  POPA</t>
  </si>
  <si>
    <t xml:space="preserve">CRA 16 # 29- 58 </t>
  </si>
  <si>
    <t>PDV MERKA EXPRESS</t>
  </si>
  <si>
    <t>Calle 16 CRA 9-2 local 4</t>
  </si>
  <si>
    <t>CDA ORBICENTRO</t>
  </si>
  <si>
    <t>VALLEDUPAR ORBICENTRO</t>
  </si>
  <si>
    <t>MZ 11 CASA 26</t>
  </si>
  <si>
    <t>PDV CASETA ALAMOS 2</t>
  </si>
  <si>
    <t>CRA 19 # 35 - 50</t>
  </si>
  <si>
    <t>CM YOSELIN</t>
  </si>
  <si>
    <t>CLL 4 # 4A-15</t>
  </si>
  <si>
    <t xml:space="preserve">CM MILENA </t>
  </si>
  <si>
    <t>Calle 1ra # 5-83 Barrio paraiso</t>
  </si>
  <si>
    <t>CM PARAISO 2 CH</t>
  </si>
  <si>
    <t xml:space="preserve">CALLE 12 N 8-42 ORBE PLAZA </t>
  </si>
  <si>
    <t xml:space="preserve">PDV ORBE PLAZA </t>
  </si>
  <si>
    <t>DIAGONAL 2 # 15-30</t>
  </si>
  <si>
    <t xml:space="preserve">PDV ANTIGUO CDA CURUMANI </t>
  </si>
  <si>
    <t>CR 6 # 5-67</t>
  </si>
  <si>
    <t>PDV CENTRO PAILITAS</t>
  </si>
  <si>
    <t>CALLE 2 # 2-45</t>
  </si>
  <si>
    <t xml:space="preserve">CM GUAIMARAL 2 </t>
  </si>
  <si>
    <t xml:space="preserve">CALLE 44 # 20 - 54 </t>
  </si>
  <si>
    <t>CM EL HOSPITALITO</t>
  </si>
  <si>
    <t>CLL 6 13-98</t>
  </si>
  <si>
    <t xml:space="preserve">PDV LA SEXTA </t>
  </si>
  <si>
    <t>CALLE 21 # 4D-62</t>
  </si>
  <si>
    <t xml:space="preserve">CM LAS PALMAS </t>
  </si>
  <si>
    <t>CRA 15 # 15-153</t>
  </si>
  <si>
    <t>PDV BUTURAMA</t>
  </si>
  <si>
    <t>CRR 24 A # 7-74</t>
  </si>
  <si>
    <t>CM ESTANCO LA 24</t>
  </si>
  <si>
    <t>CR 3 # 2-76</t>
  </si>
  <si>
    <t>PDV LA MATA</t>
  </si>
  <si>
    <t>CRR 24 # 0-19</t>
  </si>
  <si>
    <t>CM LA 24</t>
  </si>
  <si>
    <t>Transversal 28 13-39</t>
  </si>
  <si>
    <t xml:space="preserve">CM MARIANA </t>
  </si>
  <si>
    <t xml:space="preserve">CRR 20 # 42 - 15 </t>
  </si>
  <si>
    <t xml:space="preserve">CM WEBSITE HOSPITALITO </t>
  </si>
  <si>
    <t xml:space="preserve">CRA 18D # 23 - 52 </t>
  </si>
  <si>
    <t xml:space="preserve">PDV LA GRAN VIDA </t>
  </si>
  <si>
    <t>CRA 3 # 10-04</t>
  </si>
  <si>
    <t xml:space="preserve">CM CHAVA </t>
  </si>
  <si>
    <t>CLL 2 # 6-21</t>
  </si>
  <si>
    <t xml:space="preserve">CM QUINTERO </t>
  </si>
  <si>
    <t>CR 4 1-5</t>
  </si>
  <si>
    <t xml:space="preserve">PDV LA GLORIA </t>
  </si>
  <si>
    <t>MZ 38 CASA 16 LOCAL 01</t>
  </si>
  <si>
    <t xml:space="preserve">CM AVENIDA VILLA DARIANA </t>
  </si>
  <si>
    <t>CALLE 31 # 6BIS-61</t>
  </si>
  <si>
    <t xml:space="preserve">CM MAYALES </t>
  </si>
  <si>
    <t>CALLE 30 A # 4G-108</t>
  </si>
  <si>
    <t xml:space="preserve">CM KARINA </t>
  </si>
  <si>
    <t>CRA 7 # 5-35</t>
  </si>
  <si>
    <t>CM PLAZA FERIAS 2</t>
  </si>
  <si>
    <t>CALLE 30 # 25 - 31</t>
  </si>
  <si>
    <t xml:space="preserve">CM YUDIS </t>
  </si>
  <si>
    <t>DIAGONAL 4 # 9-22</t>
  </si>
  <si>
    <t xml:space="preserve">CM LA 4TA </t>
  </si>
  <si>
    <t xml:space="preserve">Calle 5 Casa 8 </t>
  </si>
  <si>
    <t xml:space="preserve">TAT DAVIANIS </t>
  </si>
  <si>
    <t xml:space="preserve">calle 17A #34--45 </t>
  </si>
  <si>
    <t xml:space="preserve">CM BETTY </t>
  </si>
  <si>
    <t>MZ 11-42-</t>
  </si>
  <si>
    <t xml:space="preserve">TAT ALEXIS </t>
  </si>
  <si>
    <t>CALLE 21 # 4F-06</t>
  </si>
  <si>
    <t xml:space="preserve">CM SAN ANTONIO </t>
  </si>
  <si>
    <t xml:space="preserve">Calle 17 #07-04 </t>
  </si>
  <si>
    <t>CM 5 ESQUINAS</t>
  </si>
  <si>
    <t xml:space="preserve">Cra. 9 #11110 #11a </t>
  </si>
  <si>
    <t xml:space="preserve">CM APUESTAS LA MONA </t>
  </si>
  <si>
    <t>CRA 14#13-31</t>
  </si>
  <si>
    <t xml:space="preserve">CM REFRI J </t>
  </si>
  <si>
    <t>CALLE 19 # 33 - 28</t>
  </si>
  <si>
    <t xml:space="preserve">PDV CASETA VILLA ARCADIA </t>
  </si>
  <si>
    <t>CALLE 10N # 33 -58</t>
  </si>
  <si>
    <t xml:space="preserve">PDV ANTIGUO CDA SAN EDUARDO </t>
  </si>
  <si>
    <t>CR 19 # 14-97 LOCAL 1</t>
  </si>
  <si>
    <t xml:space="preserve">CM EDUFRASSER </t>
  </si>
  <si>
    <t>CALLE 8 # 22-76</t>
  </si>
  <si>
    <t>TAT NEILA</t>
  </si>
  <si>
    <t>CALLE 13 N 9-27 OBRERO</t>
  </si>
  <si>
    <t>CM CAÑAHUATERA</t>
  </si>
  <si>
    <t xml:space="preserve">MANZANA 7 CASA 1 </t>
  </si>
  <si>
    <t xml:space="preserve">CM DROGUERIA EL PARAMO </t>
  </si>
  <si>
    <t>CALLE 11 MZ B1</t>
  </si>
  <si>
    <t>CM LOS MOROCHOS 2</t>
  </si>
  <si>
    <t>CLL 1 # 1-29</t>
  </si>
  <si>
    <t xml:space="preserve">CM BUBALU </t>
  </si>
  <si>
    <t>kra 18 #18-11 local 1</t>
  </si>
  <si>
    <t>CM EL TREBOL 1</t>
  </si>
  <si>
    <t>CRA 31 # 8-56</t>
  </si>
  <si>
    <t xml:space="preserve">CM VALENTINO </t>
  </si>
  <si>
    <t>CLL 5 CR 3-38</t>
  </si>
  <si>
    <t xml:space="preserve">CM FLORESTA </t>
  </si>
  <si>
    <t>CALLE 20 CRA 24 28-29</t>
  </si>
  <si>
    <t xml:space="preserve">CM DIOS CON NOSOTROS </t>
  </si>
  <si>
    <t xml:space="preserve">CRA 16 # 28 -06 </t>
  </si>
  <si>
    <t>CM ECONOMIA LA 28</t>
  </si>
  <si>
    <t>CLL 16 CR 17A  # 17A-2</t>
  </si>
  <si>
    <t xml:space="preserve">CM ECONOMIA HOSPITALARIA </t>
  </si>
  <si>
    <t>DIAGONAL 1 # 4-71</t>
  </si>
  <si>
    <t xml:space="preserve">CM PUNTO RED LA JAGUA </t>
  </si>
  <si>
    <t>Cr 19 # 16-04</t>
  </si>
  <si>
    <t xml:space="preserve">CM ECONOMIA MOVISTAR </t>
  </si>
  <si>
    <t>CLL 20 # 13-06</t>
  </si>
  <si>
    <t xml:space="preserve">CM ECONOMIA MERCADO </t>
  </si>
  <si>
    <t>DIAG 18 TRAV 17 # 17B-20</t>
  </si>
  <si>
    <t xml:space="preserve">CM ECONOMIA URGENCIAS </t>
  </si>
  <si>
    <t xml:space="preserve">CLL 1 CENTRO BARRANCALEBRIJA </t>
  </si>
  <si>
    <t xml:space="preserve">CM BARRANCALEBRIJA ELIZA </t>
  </si>
  <si>
    <t>MZ E CASA 42</t>
  </si>
  <si>
    <t xml:space="preserve">CM VILLA IRINA </t>
  </si>
  <si>
    <t xml:space="preserve">CARRERA 30 # 6A-07 </t>
  </si>
  <si>
    <t xml:space="preserve">CM LUCIANA </t>
  </si>
  <si>
    <t>CLL 3 CRA 4-67</t>
  </si>
  <si>
    <t xml:space="preserve">CM ESNEIDER </t>
  </si>
  <si>
    <t xml:space="preserve">CARRERA 18 # 14-02 </t>
  </si>
  <si>
    <t xml:space="preserve">CM TIENDA LAURA DANIELA </t>
  </si>
  <si>
    <t>cra 10 # 8 25</t>
  </si>
  <si>
    <t xml:space="preserve">NUEVO CDA GAMARRA </t>
  </si>
  <si>
    <t>CLL 16 # 12-15</t>
  </si>
  <si>
    <t xml:space="preserve">PDV CENTRO GOBERNACION </t>
  </si>
  <si>
    <t>CR 12 # 14-5 APTO 1</t>
  </si>
  <si>
    <t xml:space="preserve">PDV PANADERIA GALAN </t>
  </si>
  <si>
    <t>CRA 13B  N 6-40 ARIZONA</t>
  </si>
  <si>
    <t xml:space="preserve">CM ENTRADA ARIZONA </t>
  </si>
  <si>
    <t>CR 12 # 18-12</t>
  </si>
  <si>
    <t>PDV A Y A</t>
  </si>
  <si>
    <t>DIAGONAL 1 # 6-25</t>
  </si>
  <si>
    <t xml:space="preserve">TAT WILMER MINDIOLA </t>
  </si>
  <si>
    <t>CLL 16 # 6-05</t>
  </si>
  <si>
    <t xml:space="preserve">CM DANNA </t>
  </si>
  <si>
    <t>CALLE 8 # 6-54</t>
  </si>
  <si>
    <t>Calle 10 # 7-26 Apta 01 Barrio higueron</t>
  </si>
  <si>
    <t xml:space="preserve">CM TIENDA ARCOIRIS </t>
  </si>
  <si>
    <t>CRA 2 # 3-02</t>
  </si>
  <si>
    <t xml:space="preserve">CM JAIMES </t>
  </si>
  <si>
    <t>CALLE 11 # 21-111</t>
  </si>
  <si>
    <t xml:space="preserve">TAT EL CHICHI </t>
  </si>
  <si>
    <t>CALLE 7 # 9-30</t>
  </si>
  <si>
    <t xml:space="preserve">CM KATIUSKA </t>
  </si>
  <si>
    <t>Calle 22#13a13</t>
  </si>
  <si>
    <t xml:space="preserve">CM SALOME </t>
  </si>
  <si>
    <t xml:space="preserve">kra 3 # 5-33 Barrio brisas del norte </t>
  </si>
  <si>
    <t xml:space="preserve">CM LAS TORRES </t>
  </si>
  <si>
    <t>MZ 6 CASA 11</t>
  </si>
  <si>
    <t xml:space="preserve">CM NERAK </t>
  </si>
  <si>
    <t>CARRERA 7 #5-79</t>
  </si>
  <si>
    <t xml:space="preserve">CM ISABELLA </t>
  </si>
  <si>
    <t>CR 7 # 9A-38</t>
  </si>
  <si>
    <t xml:space="preserve">CM SANTA ANA FELIZ </t>
  </si>
  <si>
    <t>CLL 2 MZ E LOTE 25</t>
  </si>
  <si>
    <t xml:space="preserve">CM VILLARREAL </t>
  </si>
  <si>
    <t>CR 1B # 4D - 68</t>
  </si>
  <si>
    <t xml:space="preserve">CM ALFONSORES </t>
  </si>
  <si>
    <t>SIN NOMENCLATURA</t>
  </si>
  <si>
    <t xml:space="preserve">PDV EL MIRADOR </t>
  </si>
  <si>
    <t>calle 4 # 2-13 la sierrita</t>
  </si>
  <si>
    <t>CM SANTA RITA</t>
  </si>
  <si>
    <t>TRANSVERSAL 23 #20B - 36</t>
  </si>
  <si>
    <t xml:space="preserve">CM LA KOPERATIVA </t>
  </si>
  <si>
    <t xml:space="preserve">CRA 16 call 17 </t>
  </si>
  <si>
    <t>TAT MARIA LIS</t>
  </si>
  <si>
    <t>CLL 13 # 5-10</t>
  </si>
  <si>
    <t xml:space="preserve">CM SAN MIGUEL ARCANGEL </t>
  </si>
  <si>
    <t>CRA 2# 3-51</t>
  </si>
  <si>
    <t xml:space="preserve">CM MEQUE AREPAS </t>
  </si>
  <si>
    <t>CLL 9 # 48A 27</t>
  </si>
  <si>
    <t xml:space="preserve">CM BONILLA </t>
  </si>
  <si>
    <t>CLL 23 # 12-44</t>
  </si>
  <si>
    <t xml:space="preserve">CM TIENDA MARIO </t>
  </si>
  <si>
    <t>CRA 17 calle 25</t>
  </si>
  <si>
    <t xml:space="preserve">PDV TERMINAL </t>
  </si>
  <si>
    <t xml:space="preserve">manzana 26 casa 21 </t>
  </si>
  <si>
    <t xml:space="preserve">CM VARIEDADES MARI </t>
  </si>
  <si>
    <t>CRA 17 # 10 -04</t>
  </si>
  <si>
    <t>PDV PARAÍSO</t>
  </si>
  <si>
    <t>CALLE 22 15-04</t>
  </si>
  <si>
    <t>PDV MARANATHA</t>
  </si>
  <si>
    <t>CLL 20 I Nº 4A4</t>
  </si>
  <si>
    <t>CM RECARGAS MARGARITA</t>
  </si>
  <si>
    <t xml:space="preserve">CALLE 38 # 23 - 111 </t>
  </si>
  <si>
    <t>CM EL MONACO</t>
  </si>
  <si>
    <t xml:space="preserve">MZ A CASA 20 </t>
  </si>
  <si>
    <t>CM CRISTO VIVE MY</t>
  </si>
  <si>
    <t>CARRERA 5 # 21A-20</t>
  </si>
  <si>
    <t>CM MINUTOS LUZ</t>
  </si>
  <si>
    <t>Calle 27 # 17-41</t>
  </si>
  <si>
    <t>CM MERLIS</t>
  </si>
  <si>
    <t xml:space="preserve">Corregimiento la mesa </t>
  </si>
  <si>
    <t>CM TIENDA LA FLACA</t>
  </si>
  <si>
    <t>CRA 8 # 8-08 CENTRO</t>
  </si>
  <si>
    <t>PDV ANTIGUO CDA PELAYA</t>
  </si>
  <si>
    <t xml:space="preserve">CLL 3 # 34 </t>
  </si>
  <si>
    <t xml:space="preserve">PDV LA TERCERA </t>
  </si>
  <si>
    <t>Cra 4 #16c-109</t>
  </si>
  <si>
    <t>CM LA PULE</t>
  </si>
  <si>
    <t>Kra 6 # 4-36 saloa</t>
  </si>
  <si>
    <t>CM VARIEDADES VIVI</t>
  </si>
  <si>
    <t>Cl. 20 #6b-16</t>
  </si>
  <si>
    <t>CM EL BOBY</t>
  </si>
  <si>
    <t>Cr 6 # 10 a 17</t>
  </si>
  <si>
    <t xml:space="preserve">TAT LA LOMA </t>
  </si>
  <si>
    <t>CRA 6A # 1BIS-05</t>
  </si>
  <si>
    <t>CM LA DANTA</t>
  </si>
  <si>
    <t>CL 16 #19E - 27 LOCAL 04</t>
  </si>
  <si>
    <t xml:space="preserve">PDV DROGUERIA + VERDE </t>
  </si>
  <si>
    <t>CRA 6 CALLE 1-45</t>
  </si>
  <si>
    <t>CM CRISTO VIENE PRONTO</t>
  </si>
  <si>
    <t>Mz 56 Casa 21</t>
  </si>
  <si>
    <t>PDV CIUDADELA 450 AÑOS</t>
  </si>
  <si>
    <t>CLL 8B # 1B-36</t>
  </si>
  <si>
    <t>CM PROVISIONES LA ÑAÑA</t>
  </si>
  <si>
    <t xml:space="preserve">Calle 14#16-47 San Martin </t>
  </si>
  <si>
    <t>CM ALCIRA</t>
  </si>
  <si>
    <t>TRANSVERSAL 25A #18B -26</t>
  </si>
  <si>
    <t>PDV TRANSV 25 LOS FUNDADORES</t>
  </si>
  <si>
    <t>Carrera 12 # 6 -153 barrio San Pedro.</t>
  </si>
  <si>
    <t>CM LA ESPECIAL</t>
  </si>
  <si>
    <t>CALLE 3 # 2-54</t>
  </si>
  <si>
    <t>CM PAPELERIA JOHANA</t>
  </si>
  <si>
    <t>calle 8 # 3-4B centro</t>
  </si>
  <si>
    <t>Calle 7 # 31-43</t>
  </si>
  <si>
    <t>PDV LA TRONCAL</t>
  </si>
  <si>
    <t>CRA 2 # 12-36</t>
  </si>
  <si>
    <t>CM TIENDA LOS MANGOS</t>
  </si>
  <si>
    <t>Kra 22 # 12-28 Barrio san juan bosco</t>
  </si>
  <si>
    <t>CM LA PLAZA BOSCONIA</t>
  </si>
  <si>
    <t>Kra 21 # 29-13 Barrio 18 de febrero</t>
  </si>
  <si>
    <t>PDV 18 DE FEBRERO</t>
  </si>
  <si>
    <t>Calle 14 #8-15</t>
  </si>
  <si>
    <t>CM ASESORIAS SERVICIOSPUBLICOS</t>
  </si>
  <si>
    <t>Calle 25 # 15-37</t>
  </si>
  <si>
    <t xml:space="preserve">CALLE 2 # 2 - 140 </t>
  </si>
  <si>
    <t>CM SINDY GU</t>
  </si>
  <si>
    <t>Manzana 14 casa 14 barrio nueva esperanza ..</t>
  </si>
  <si>
    <t>CM NUEVA ESPERANZA</t>
  </si>
  <si>
    <t>CR9 #16-13</t>
  </si>
  <si>
    <t>TAT CLAUDIA</t>
  </si>
  <si>
    <t>Calle 11 # 4-96</t>
  </si>
  <si>
    <t>PDV SANTANDER</t>
  </si>
  <si>
    <t>CRA 6 # 1N-60</t>
  </si>
  <si>
    <t>PDV SAN FRANCISCO</t>
  </si>
  <si>
    <t xml:space="preserve">CLL 1A # 1A-128 </t>
  </si>
  <si>
    <t>CM 1 DE ABRIL</t>
  </si>
  <si>
    <t xml:space="preserve">CLL 59 CRR 25 - 6 </t>
  </si>
  <si>
    <t>CM CLICK PAGOS</t>
  </si>
  <si>
    <t>CRA 16 # 11-73</t>
  </si>
  <si>
    <t xml:space="preserve">CRA 23 # 24 - 40 </t>
  </si>
  <si>
    <t>PDV 23 CON 24</t>
  </si>
  <si>
    <t>CALLE 3 #7-11</t>
  </si>
  <si>
    <t>PDV FLORES</t>
  </si>
  <si>
    <t>TRANSVERSAL 29 #18A - 34</t>
  </si>
  <si>
    <t>PDV CDV</t>
  </si>
  <si>
    <t>Carrera 4 #17b-146</t>
  </si>
  <si>
    <t>CM TECNISERVICIOS</t>
  </si>
  <si>
    <t>CRA 4 N 2B -11 CORREGIMIENTO</t>
  </si>
  <si>
    <t>PDV EL JABO</t>
  </si>
  <si>
    <t>Vereda san francisco</t>
  </si>
  <si>
    <t>TAT  SAN FRANCISCO</t>
  </si>
  <si>
    <t xml:space="preserve">BARRIO LA PLAZA </t>
  </si>
  <si>
    <t>PDV CARACOLICITO</t>
  </si>
  <si>
    <t>CLL 4 # 4 - 104</t>
  </si>
  <si>
    <t>CM FATIMA 2</t>
  </si>
  <si>
    <t>CRA 7 # 4-02</t>
  </si>
  <si>
    <t xml:space="preserve">CM FATIMA </t>
  </si>
  <si>
    <t>MZ12. Casa 19.</t>
  </si>
  <si>
    <t>TAT MELISA</t>
  </si>
  <si>
    <t>CALLE 4 # 7-02</t>
  </si>
  <si>
    <t>PDV  SABANITAS</t>
  </si>
  <si>
    <t xml:space="preserve">CLL 4 # 7A-03 </t>
  </si>
  <si>
    <t>CM YURIS</t>
  </si>
  <si>
    <t>CLL 9 # 10A-28</t>
  </si>
  <si>
    <t>CM DON JUSTO</t>
  </si>
  <si>
    <t xml:space="preserve">MZ I # 11 </t>
  </si>
  <si>
    <t>CM NUEVO HORIZONTE</t>
  </si>
  <si>
    <t>CALLE 5 SUR # 41-6</t>
  </si>
  <si>
    <t>CM MANANTIAL</t>
  </si>
  <si>
    <t>CRA 7 # 6-53</t>
  </si>
  <si>
    <t>CM DROG LA ECONOMIA PAILITAS</t>
  </si>
  <si>
    <t xml:space="preserve">CRA 19 # 1-05 </t>
  </si>
  <si>
    <t>CM CYBER PLANET</t>
  </si>
  <si>
    <t xml:space="preserve">CRA 4 # 5-37 </t>
  </si>
  <si>
    <t>CM MULTISERVICIOS FANDY</t>
  </si>
  <si>
    <t xml:space="preserve">via principal salida minas de iracla </t>
  </si>
  <si>
    <t>CM LA MINA DE IRACAL</t>
  </si>
  <si>
    <t>DIAGONAL 31 11a-57</t>
  </si>
  <si>
    <t>CM VIÑAS</t>
  </si>
  <si>
    <t>CALLE 18A - BIS # 36-05</t>
  </si>
  <si>
    <t>CM FARMA SERVICIOS</t>
  </si>
  <si>
    <t>CR 11 # 16A-57</t>
  </si>
  <si>
    <t>CM EMBAJADA TIGO</t>
  </si>
  <si>
    <t>Calle 18a # 6 37</t>
  </si>
  <si>
    <t>CM COOP Y REST COOTRANCZNORTE</t>
  </si>
  <si>
    <t>MZ E CASA 8</t>
  </si>
  <si>
    <t>CM LAURI</t>
  </si>
  <si>
    <t>CL 2C # 6A-52</t>
  </si>
  <si>
    <t>CM SIRLEY</t>
  </si>
  <si>
    <t>CRA 18 # 4-77</t>
  </si>
  <si>
    <t>CM DROG LA ECONOMIA MORROCOY</t>
  </si>
  <si>
    <t>Carrera 37 #9-10</t>
  </si>
  <si>
    <t>CM FERRETERIA ESPAÑA</t>
  </si>
  <si>
    <t xml:space="preserve">CRR 19 # 56 - 11 </t>
  </si>
  <si>
    <t>CM 25 DE DICIEMBRE</t>
  </si>
  <si>
    <t>MZ C - CASA 5</t>
  </si>
  <si>
    <t>CM JIREH</t>
  </si>
  <si>
    <t xml:space="preserve">CRR 22 # 34 - 19 </t>
  </si>
  <si>
    <t>CM LEIDY</t>
  </si>
  <si>
    <t>CRA 10 N 13B 32 OBRERO</t>
  </si>
  <si>
    <t xml:space="preserve">CM TUROJUAN </t>
  </si>
  <si>
    <t>CRA 8N # 7-131</t>
  </si>
  <si>
    <t>CM DROG LA ECONOMIA PELAYA</t>
  </si>
  <si>
    <t xml:space="preserve">carrera 27 # 52 - 71 </t>
  </si>
  <si>
    <t>CDA VALLEDUPAR TERMINAL 2</t>
  </si>
  <si>
    <t>Kr 9 # 13c 80</t>
  </si>
  <si>
    <t>CM OLIMPICA LA 9NA</t>
  </si>
  <si>
    <t>CL 6 # 4-53</t>
  </si>
  <si>
    <t>CM 7 DE MAYO</t>
  </si>
  <si>
    <t xml:space="preserve">Kra 24 # 9-49 Barrio la estacion </t>
  </si>
  <si>
    <t>CM LA ESTACIÓN #2</t>
  </si>
  <si>
    <t xml:space="preserve">KRA 14 # 3- 32 </t>
  </si>
  <si>
    <t>PDV LA 14</t>
  </si>
  <si>
    <t>Cll2#3-19</t>
  </si>
  <si>
    <t>CM OBREGON</t>
  </si>
  <si>
    <t xml:space="preserve">VEREDA LOS CALABAZOS </t>
  </si>
  <si>
    <t>CM LOS CALABAZOS</t>
  </si>
  <si>
    <t>CALLE 33 # 4D-05</t>
  </si>
  <si>
    <t>PDV ADOLESCENTE #2</t>
  </si>
  <si>
    <t xml:space="preserve">Cra 36 calle 16 c # 36-07 local 3 </t>
  </si>
  <si>
    <t>PDV FERRETERIA COLOMBIA</t>
  </si>
  <si>
    <t>CR 6-13</t>
  </si>
  <si>
    <t>CM SAN ANTONIO</t>
  </si>
  <si>
    <t xml:space="preserve">manzana 14 casa 1 </t>
  </si>
  <si>
    <t>CM PANADERIA LA 27</t>
  </si>
  <si>
    <t xml:space="preserve">CRA 18D # 24- 15 </t>
  </si>
  <si>
    <t>CM EL SUERTE 2</t>
  </si>
  <si>
    <t>CRA 2  CLL4 # 1-51</t>
  </si>
  <si>
    <t>CM LA MONA OÑATE</t>
  </si>
  <si>
    <t>Calle 18 # 19-57 local 1</t>
  </si>
  <si>
    <t>CDA NUEVO BOSCONIA</t>
  </si>
  <si>
    <t xml:space="preserve">CALLE 6 #39-81 </t>
  </si>
  <si>
    <t>PDV EL BOMBAZO</t>
  </si>
  <si>
    <t xml:space="preserve">Calle16 # 21 64 </t>
  </si>
  <si>
    <t>CM DANA</t>
  </si>
  <si>
    <t xml:space="preserve">CR 40 # 1-97 </t>
  </si>
  <si>
    <t>CM BRASILIA</t>
  </si>
  <si>
    <t xml:space="preserve">CALLE 7 # 3 - 40 </t>
  </si>
  <si>
    <t>CM ISIS</t>
  </si>
  <si>
    <t>CARRERA 5A #7-36</t>
  </si>
  <si>
    <t>CM DONDE JESSICA</t>
  </si>
  <si>
    <t xml:space="preserve">MZ A CASA 30 </t>
  </si>
  <si>
    <t>CM AGA</t>
  </si>
  <si>
    <t xml:space="preserve">CLL 8 # 8-102 LOCAL 1 </t>
  </si>
  <si>
    <t>PDV CAMPO SERRANO</t>
  </si>
  <si>
    <t xml:space="preserve">CRA  7 # 16-46 </t>
  </si>
  <si>
    <t>PDV CENTRO SAN MARTIN</t>
  </si>
  <si>
    <t xml:space="preserve">CALLE 11# 18-05 </t>
  </si>
  <si>
    <t>CM VARIEDADES MALÚ</t>
  </si>
  <si>
    <t xml:space="preserve">CR 8 # 14-20 </t>
  </si>
  <si>
    <t>CM TEFY</t>
  </si>
  <si>
    <t xml:space="preserve">CLL 1C - 1 - 51B </t>
  </si>
  <si>
    <t>PDV EL PROGRESO</t>
  </si>
  <si>
    <t xml:space="preserve">CRA 4 # 8-08 </t>
  </si>
  <si>
    <t>PDV LOS HALCONES</t>
  </si>
  <si>
    <t xml:space="preserve">Calle 2 # 7 - 23 </t>
  </si>
  <si>
    <t>CM EL BALLITO</t>
  </si>
  <si>
    <t>CRA 10 B 14 -03 APTO 1</t>
  </si>
  <si>
    <t>PDV SAGRADO CORAZON DE JESUS</t>
  </si>
  <si>
    <t xml:space="preserve">CR 17 # 0-98  </t>
  </si>
  <si>
    <t>PDV PRIMAVERA</t>
  </si>
  <si>
    <t>CALLE 2 # 4- 16</t>
  </si>
  <si>
    <t>PDV VILLA FANNY</t>
  </si>
  <si>
    <t>CARRERA 21 # 6B- 02</t>
  </si>
  <si>
    <t>CM APUESTAS DIEGO</t>
  </si>
  <si>
    <t>TRANSVERSAL 29 #18C - 16</t>
  </si>
  <si>
    <t>TAT JOSEFA</t>
  </si>
  <si>
    <t xml:space="preserve">CALLE 26 # 18E 22 </t>
  </si>
  <si>
    <t>CM VARIEDADES MAURO</t>
  </si>
  <si>
    <t xml:space="preserve">CRA 7a #17-22 </t>
  </si>
  <si>
    <t>PDV 5 ESQUINAS 2</t>
  </si>
  <si>
    <t>Cra 18A # 28-44 Barrio 20 de mayo</t>
  </si>
  <si>
    <t>CM 20 DE MAYO</t>
  </si>
  <si>
    <t>Calle 7 # 0-358</t>
  </si>
  <si>
    <t>CM EL MUELLE</t>
  </si>
  <si>
    <t>PARQUE EL VIAJERO</t>
  </si>
  <si>
    <t>CM DONDE LUIS</t>
  </si>
  <si>
    <t>KDX  120- 1</t>
  </si>
  <si>
    <t>CM CLAUDIA</t>
  </si>
  <si>
    <t>Calle 7A # 23 - 08</t>
  </si>
  <si>
    <t>CM FARMANORTE 313</t>
  </si>
  <si>
    <t>MZ C CASA 4</t>
  </si>
  <si>
    <t>CM JOHANA</t>
  </si>
  <si>
    <t xml:space="preserve">CALLE 19A #14A-26 </t>
  </si>
  <si>
    <t>CM LAS K</t>
  </si>
  <si>
    <t>CLL 7 A # 3-02</t>
  </si>
  <si>
    <t>CM JOHAN</t>
  </si>
  <si>
    <t>CRA 8 # 9-96</t>
  </si>
  <si>
    <t>CM FARMANORTE 126</t>
  </si>
  <si>
    <t>Carrera 1 # 25 - 85</t>
  </si>
  <si>
    <t>CM FARMANORTE GUATAPURI</t>
  </si>
  <si>
    <t>CALLE 5 # 7-74</t>
  </si>
  <si>
    <t>CM DELIJERO</t>
  </si>
  <si>
    <t xml:space="preserve">Manzana 69 #16-53 </t>
  </si>
  <si>
    <t>CM MANUEL</t>
  </si>
  <si>
    <t>MZ C CASA 19 ETAPA 2</t>
  </si>
  <si>
    <t>CM ISA</t>
  </si>
  <si>
    <t>CALLE 2 # 1-80</t>
  </si>
  <si>
    <t>CM SADAY</t>
  </si>
  <si>
    <t>Cr12#6a-78</t>
  </si>
  <si>
    <t>CM LA CEQUIA</t>
  </si>
  <si>
    <t>Carrera 41 #5G-30</t>
  </si>
  <si>
    <t>CM FARMANORTE 217</t>
  </si>
  <si>
    <t>MZ Q  CASA 5</t>
  </si>
  <si>
    <t>CM VARIEDADES DANY</t>
  </si>
  <si>
    <t xml:space="preserve">calle 1 # 3-27 la union </t>
  </si>
  <si>
    <t>CM KANDY</t>
  </si>
  <si>
    <t>CALLE 3 CRA 3-31</t>
  </si>
  <si>
    <t>CM SAN JOSE</t>
  </si>
  <si>
    <t>Calle 2 # 2-62</t>
  </si>
  <si>
    <t>CM NUEVO ANTEQUERA</t>
  </si>
  <si>
    <t>Cr5#12-108</t>
  </si>
  <si>
    <t>CM SAVILOE</t>
  </si>
  <si>
    <t>CALLE 2C # 12-43</t>
  </si>
  <si>
    <t>CM SILVANNA</t>
  </si>
  <si>
    <t>CALLE 21 # 05-125</t>
  </si>
  <si>
    <t>CM FARMANORTE 112</t>
  </si>
  <si>
    <t>MZ 3 CASA 6</t>
  </si>
  <si>
    <t>CM MISCELANEA BETEL</t>
  </si>
  <si>
    <t>Calle 1A # 22</t>
  </si>
  <si>
    <t>CM VILLA RUBIELA</t>
  </si>
  <si>
    <t>CRA 4 # 1-45</t>
  </si>
  <si>
    <t>CM SARETH</t>
  </si>
  <si>
    <t xml:space="preserve">CRA 18D # 24- 14 </t>
  </si>
  <si>
    <t xml:space="preserve">CM EL SUERTE 3 </t>
  </si>
  <si>
    <t>CARRERA 7A # 22-01 ESQUINA</t>
  </si>
  <si>
    <t>CM OJITO</t>
  </si>
  <si>
    <t xml:space="preserve">CALLE 12 A 11-113 </t>
  </si>
  <si>
    <t>CM HERMANOS JIMENEZ</t>
  </si>
  <si>
    <t>CLL 4 # 6 A 67</t>
  </si>
  <si>
    <t>CM ELIS</t>
  </si>
  <si>
    <t>MZ 25 CASA 26</t>
  </si>
  <si>
    <t>CM CRIDIAMYES</t>
  </si>
  <si>
    <t xml:space="preserve">CRA 20 # 32 -03 </t>
  </si>
  <si>
    <t>CM CYBER LA CRESPA</t>
  </si>
  <si>
    <t>MANZANA D CASA 17 EL PORTAL</t>
  </si>
  <si>
    <t>CM TIENDA EL PORTAL</t>
  </si>
  <si>
    <t xml:space="preserve"> Calle 13A #17-65</t>
  </si>
  <si>
    <t>CM VARIEDADES YOAZ</t>
  </si>
  <si>
    <t xml:space="preserve">Cra 19d #5b-45 </t>
  </si>
  <si>
    <t>CM FERRETERIA JRCONSTRUCCIONES</t>
  </si>
  <si>
    <t>Corregimiento La mesa azúcar buena</t>
  </si>
  <si>
    <t>TAT LA MEZA</t>
  </si>
  <si>
    <t xml:space="preserve">crr 20 # 37 - 203 </t>
  </si>
  <si>
    <t>CM LOS CANARIOS</t>
  </si>
  <si>
    <t>CLL 14 NORTE # 30-04</t>
  </si>
  <si>
    <t>CM LAS CORDILLERAS</t>
  </si>
  <si>
    <t>Calle 16 con carrera 19</t>
  </si>
  <si>
    <t>CM ÉXITO LAS FLORES</t>
  </si>
  <si>
    <t>CRA 9 # 9-69</t>
  </si>
  <si>
    <t>CM DANERIS</t>
  </si>
  <si>
    <t>CM LORENA</t>
  </si>
  <si>
    <t>CALLE CALLE 8 CARRERA17-152</t>
  </si>
  <si>
    <t>CRA 17-5 SUR</t>
  </si>
  <si>
    <t>CM VARIEDADES S Y L</t>
  </si>
  <si>
    <t>CRA 26 # 10-76</t>
  </si>
  <si>
    <t>CM INSTITUTO</t>
  </si>
  <si>
    <t>Calle 3 CRA 8-3</t>
  </si>
  <si>
    <t>CM ISABELL</t>
  </si>
  <si>
    <t>Calle 3S # 8-24</t>
  </si>
  <si>
    <t>CM VARIEDADES CONTRERAS</t>
  </si>
  <si>
    <t>Diagonal 14#1_05</t>
  </si>
  <si>
    <t>CM EL 17 #1</t>
  </si>
  <si>
    <t>cr29#5-39</t>
  </si>
  <si>
    <t>CM DEBANNIS 1</t>
  </si>
  <si>
    <t>CL 9 # 19-02</t>
  </si>
  <si>
    <t>CM TIENDA FAMILIAR</t>
  </si>
  <si>
    <t>CR 47 # 8N-54</t>
  </si>
  <si>
    <t>CM NUEVA COLOMBIA</t>
  </si>
  <si>
    <t>CL 3 # 5-63</t>
  </si>
  <si>
    <t>CM JAYFERSERVICIOS</t>
  </si>
  <si>
    <t>MZ 13 CASA 461</t>
  </si>
  <si>
    <t>CM NUEVO MILENIO</t>
  </si>
  <si>
    <t>CL 10 # 8-70</t>
  </si>
  <si>
    <t>CM LA 10</t>
  </si>
  <si>
    <t>CL 11 # 15-75</t>
  </si>
  <si>
    <t>CL 10 # 4-33</t>
  </si>
  <si>
    <t>CM LISKAT</t>
  </si>
  <si>
    <t>CR 2 SUR # 12BIS -24</t>
  </si>
  <si>
    <t>CM TEL AVIV</t>
  </si>
  <si>
    <t xml:space="preserve">CL 14 # 9-31 APT 1 </t>
  </si>
  <si>
    <t>CM SOFI 1</t>
  </si>
  <si>
    <t>CL 20B # 18A-81</t>
  </si>
  <si>
    <t>CM MARMOLINDA</t>
  </si>
  <si>
    <t xml:space="preserve">CL 4 CR 4-3 </t>
  </si>
  <si>
    <t>CM PUNTO CENTRAL 2</t>
  </si>
  <si>
    <t xml:space="preserve">NOA MZ J CASA 24 </t>
  </si>
  <si>
    <t>CM SANTIAGO VELEZ 1</t>
  </si>
  <si>
    <t xml:space="preserve"> Calle 3 # 3-31</t>
  </si>
  <si>
    <t>CM EL CARMEN</t>
  </si>
  <si>
    <t>CR 16 # 2SUR 48 CASA 1</t>
  </si>
  <si>
    <t>CM LA VAQUERA 2</t>
  </si>
  <si>
    <t xml:space="preserve">CRA 12 # 14-75 </t>
  </si>
  <si>
    <t xml:space="preserve">CM TIENDA EL DESCANSO </t>
  </si>
  <si>
    <t xml:space="preserve">CR 29 # 17A-37 APT 2 </t>
  </si>
  <si>
    <t>CM KARLA 1</t>
  </si>
  <si>
    <t xml:space="preserve">CALLE 1 A CRA 5 # 130 </t>
  </si>
  <si>
    <t>CM DINARAS 1</t>
  </si>
  <si>
    <t xml:space="preserve">CM </t>
  </si>
  <si>
    <t>CR 9 # 15-13</t>
  </si>
  <si>
    <t>CM COLEGIO SAN MARTIN 1</t>
  </si>
  <si>
    <t xml:space="preserve">CALLE 10 # 11 - 03 </t>
  </si>
  <si>
    <t>CM LA 10 .1</t>
  </si>
  <si>
    <t>CR 4 # 7-6</t>
  </si>
  <si>
    <t>CM SANTI 1</t>
  </si>
  <si>
    <t xml:space="preserve">CARRETERA VIA NUEVA COLOMBIA  KM 36 -450 </t>
  </si>
  <si>
    <t xml:space="preserve">CM NUEVA COLOMBIA </t>
  </si>
  <si>
    <t xml:space="preserve">AGUAS BLANCAS </t>
  </si>
  <si>
    <t>CM MAYLU COSMETICS</t>
  </si>
  <si>
    <t xml:space="preserve">CR 17 # 23-21 </t>
  </si>
  <si>
    <t>CM FRUVER</t>
  </si>
  <si>
    <t>CALLE 7 CRA 4-79</t>
  </si>
  <si>
    <t xml:space="preserve">CM CENTRO RINCON HONDO </t>
  </si>
  <si>
    <t>CL 20 # 11A-78</t>
  </si>
  <si>
    <t>CM NADIA</t>
  </si>
  <si>
    <t xml:space="preserve">CL 6 # 2-22 </t>
  </si>
  <si>
    <t>CM KISOCO ZAIDIS</t>
  </si>
  <si>
    <t>SECTOR 1  MZ A-24</t>
  </si>
  <si>
    <t>CM SEBAS</t>
  </si>
  <si>
    <t xml:space="preserve">CG 3 # 1-47 </t>
  </si>
  <si>
    <t>CM PAPELERIA EMELLY</t>
  </si>
  <si>
    <t>CR 3 CL 2-5</t>
  </si>
  <si>
    <t>CM LOS CAMACHOS</t>
  </si>
  <si>
    <t>MZ B CASA 23</t>
  </si>
  <si>
    <t>CM VALERIA</t>
  </si>
  <si>
    <t>CL 18 # 10-90</t>
  </si>
  <si>
    <t>CM RANDACRIS</t>
  </si>
  <si>
    <t>DG 9 # 7N-5</t>
  </si>
  <si>
    <t>CM PAPELERIA KAROL</t>
  </si>
  <si>
    <t>CRRT VIA HOJANCHA KM 4-300</t>
  </si>
  <si>
    <t>CM NUEVO CHAMPAN</t>
  </si>
  <si>
    <t xml:space="preserve">SECTOR 1 MZ 14-22 CASA 22A </t>
  </si>
  <si>
    <t>CM TIENDA DON MIGUEL</t>
  </si>
  <si>
    <t xml:space="preserve">MZ 8A CASA 2 </t>
  </si>
  <si>
    <t>CM TIENDA LA VICTORIA</t>
  </si>
  <si>
    <t>CR 6 CL 3-33</t>
  </si>
  <si>
    <t>CM DROGUERIA VIFARMA</t>
  </si>
  <si>
    <t>CL 10 CR 20-166</t>
  </si>
  <si>
    <t>CM DEISY</t>
  </si>
  <si>
    <t>CR 9 # 19-30</t>
  </si>
  <si>
    <t>CM LICORERA SAN MARTIN</t>
  </si>
  <si>
    <t>CL 2 # 5A-22</t>
  </si>
  <si>
    <t>CM ESTANCO CENTRAL</t>
  </si>
  <si>
    <t>CL 4A # 3-20</t>
  </si>
  <si>
    <t>CM EL PUERTO GAMARRA</t>
  </si>
  <si>
    <t>CL 1 SUR 1-146</t>
  </si>
  <si>
    <t>CM TIENDA PAU</t>
  </si>
  <si>
    <t>DG 18A # 22-37</t>
  </si>
  <si>
    <t>CM LOS 4 HERMANOS</t>
  </si>
  <si>
    <t>CR 9A # 6A-05</t>
  </si>
  <si>
    <t>CM VARIEDADES MARY</t>
  </si>
  <si>
    <t>DG 7 # 12-24</t>
  </si>
  <si>
    <t>CM PAPELERIA YENIS</t>
  </si>
  <si>
    <t>CL 1 CR 7-29</t>
  </si>
  <si>
    <t>CM ZAPATOSA</t>
  </si>
  <si>
    <t>SECTOR 1 MZ N -28</t>
  </si>
  <si>
    <t>CM BELÉN</t>
  </si>
  <si>
    <t>CR 3 CL 6-92</t>
  </si>
  <si>
    <t>CM TIENDA ANA TORRES</t>
  </si>
  <si>
    <t>CR 7 CL 2B-07</t>
  </si>
  <si>
    <t>CM PROVISIONES JULIANA</t>
  </si>
  <si>
    <t>MZ D CASA 1</t>
  </si>
  <si>
    <t>CM URBANIZACIÓN VERONA</t>
  </si>
  <si>
    <t>CL 16 CR 14-72</t>
  </si>
  <si>
    <t>CM DROGUERIA</t>
  </si>
  <si>
    <t>CL 3 # 12-102</t>
  </si>
  <si>
    <t>CM LA FLORIDA 2</t>
  </si>
  <si>
    <t>KDX C1-200</t>
  </si>
  <si>
    <t>CDA GONZALES</t>
  </si>
  <si>
    <t>CL 25 # 21-76</t>
  </si>
  <si>
    <t>CM M Y A VARIEDADES</t>
  </si>
  <si>
    <t>CL 4 CR 5-7 LOC 1</t>
  </si>
  <si>
    <t>CM SOPA DE LETRA</t>
  </si>
  <si>
    <t>CL 20E # 3-56</t>
  </si>
  <si>
    <t>CM DETALLES YAIKA</t>
  </si>
  <si>
    <t>CR 12 # 18-106</t>
  </si>
  <si>
    <t>CM 12 CON 17</t>
  </si>
  <si>
    <t>CR 17 # 21-13</t>
  </si>
  <si>
    <t>CM DROGUERIA LOS ALMENDROS</t>
  </si>
  <si>
    <t>CR 21 # 11-17</t>
  </si>
  <si>
    <t>CM PROVISIONES JC</t>
  </si>
  <si>
    <t>CL 4B # 15-68</t>
  </si>
  <si>
    <t>CM TIENDA DAYANA</t>
  </si>
  <si>
    <t>CR 5 # 20C2-6</t>
  </si>
  <si>
    <t>CM LOS MORENO</t>
  </si>
  <si>
    <t>CL 4 CR 5-9</t>
  </si>
  <si>
    <t>CM AINARA</t>
  </si>
  <si>
    <t>CR 9 $ 3-21</t>
  </si>
  <si>
    <t>CR 1 CL 1-21</t>
  </si>
  <si>
    <t>CM BOQUERON</t>
  </si>
  <si>
    <t xml:space="preserve">SECTOR 1 MZ D CASA 12 </t>
  </si>
  <si>
    <t>CM VARIEDADES LOS YEI</t>
  </si>
  <si>
    <t>SECTOR 1 MZ C-17</t>
  </si>
  <si>
    <t>CM PAPELERIA AXEL</t>
  </si>
  <si>
    <t>CL 3 # 8A-4</t>
  </si>
  <si>
    <t>CM LA CASITA VERDE</t>
  </si>
  <si>
    <t>CL 1N # 38-04</t>
  </si>
  <si>
    <t>CM ROSITA</t>
  </si>
  <si>
    <t>CL 2N # 35-115</t>
  </si>
  <si>
    <t>CM EL LATIGO</t>
  </si>
  <si>
    <t>AV PRINCIPAL LA MESA</t>
  </si>
  <si>
    <t>CM LUZ</t>
  </si>
  <si>
    <t>CR 6 CL 2-145</t>
  </si>
  <si>
    <t>CM DETO RH</t>
  </si>
  <si>
    <t>CRR CULEBRITA KDX 19</t>
  </si>
  <si>
    <t>CM CRR CULEBRITA</t>
  </si>
  <si>
    <t>CL 6 CR 6A-23</t>
  </si>
  <si>
    <t>CM PATILLAL AV PRINCIPAL</t>
  </si>
  <si>
    <t>CR 20 # 6-06</t>
  </si>
  <si>
    <t>CM VARIEDADES SAMY</t>
  </si>
  <si>
    <t>CR 33 # 9-75</t>
  </si>
  <si>
    <t>CM SHARITH</t>
  </si>
  <si>
    <t>DG 3 CR 8B CASA 30</t>
  </si>
  <si>
    <t>CM POLICARPA</t>
  </si>
  <si>
    <t>CL 5 # 9-67</t>
  </si>
  <si>
    <t>CM LA VICTORIA PELAYA</t>
  </si>
  <si>
    <t>CL 3 # 8-230</t>
  </si>
  <si>
    <t>CM MARLENY</t>
  </si>
  <si>
    <t>MZ 31 CASA 14</t>
  </si>
  <si>
    <t>CM LA COSTEÑA</t>
  </si>
  <si>
    <t>SECTOR 1 MZ 161 CASA 30</t>
  </si>
  <si>
    <t>CM ARTURO</t>
  </si>
  <si>
    <t>CL 3  # 8-95</t>
  </si>
  <si>
    <t>CM HANMAR</t>
  </si>
  <si>
    <t>CL 2B # 16-55</t>
  </si>
  <si>
    <t>CM DEIAM</t>
  </si>
  <si>
    <t>CL 2 # 7-101</t>
  </si>
  <si>
    <t>CM IAN</t>
  </si>
  <si>
    <t>CR 18 # 13-35</t>
  </si>
  <si>
    <t>CM LILISBETH ROMERO DIAZ</t>
  </si>
  <si>
    <t>CL 1B # 1A-02</t>
  </si>
  <si>
    <t>CM BLANQUITA</t>
  </si>
  <si>
    <t>CR 27 # 12C-40</t>
  </si>
  <si>
    <t>CR 7 # 13-38</t>
  </si>
  <si>
    <t>PDV SAN MARTIN</t>
  </si>
  <si>
    <t>CR 14 # 9-03</t>
  </si>
  <si>
    <t>CM TIENDA LA 14</t>
  </si>
  <si>
    <t>CR 39B 6N-16</t>
  </si>
  <si>
    <t>CM ANA LU</t>
  </si>
  <si>
    <t>CL 5 # 64-71</t>
  </si>
  <si>
    <t>CM MANUELITA</t>
  </si>
  <si>
    <t>CL 8 # 7-112</t>
  </si>
  <si>
    <t>CM LA NEGRA 2</t>
  </si>
  <si>
    <t xml:space="preserve">CL 7 CR 8-15 </t>
  </si>
  <si>
    <t>CM ATANQUE YOSELYN</t>
  </si>
  <si>
    <t>CR 5A N26-92</t>
  </si>
  <si>
    <t>CM ELYS</t>
  </si>
  <si>
    <t>CL 1-1A-09</t>
  </si>
  <si>
    <t>CDA NUEVO RIO DE ORO</t>
  </si>
  <si>
    <t>PUERTO CARREÑO</t>
  </si>
  <si>
    <t>CM PUERTO CARREÑO</t>
  </si>
  <si>
    <t>CR 11 # 6-23</t>
  </si>
  <si>
    <t>CM 19 DE MAYO</t>
  </si>
  <si>
    <t>DG 2 # 2-71</t>
  </si>
  <si>
    <t>CM LA POLICIA</t>
  </si>
  <si>
    <t>MZ 51 C N 10B</t>
  </si>
  <si>
    <t>CM VARIEDADES KILIAN</t>
  </si>
  <si>
    <t>CL 1 # 1-36</t>
  </si>
  <si>
    <t>CM LAS 3K LIBANO</t>
  </si>
  <si>
    <t>CR 3 # 1-118</t>
  </si>
  <si>
    <t>CM LAS RAICES 1</t>
  </si>
  <si>
    <t xml:space="preserve">CL 5B # 6-64 </t>
  </si>
  <si>
    <t>CM YAIRINYS 2</t>
  </si>
  <si>
    <t>CL 19 # 13A-17</t>
  </si>
  <si>
    <t>CM TENDA EL ALMENDRO PRADERA</t>
  </si>
  <si>
    <t xml:space="preserve">CL 31 # 18A-22 </t>
  </si>
  <si>
    <t>CM VARIEDADES QUILLA</t>
  </si>
  <si>
    <t>CR 12 CL 12-36</t>
  </si>
  <si>
    <t>CM PANADERIA MAXIPAN</t>
  </si>
  <si>
    <t>CGTO TERRAPLEN CASA 126</t>
  </si>
  <si>
    <t>CM TERRAPLEN</t>
  </si>
  <si>
    <t>CR 40 # 9AN-85</t>
  </si>
  <si>
    <t>CM CORTINAS DE GARCES</t>
  </si>
  <si>
    <t>CR 13A CL 13A-72</t>
  </si>
  <si>
    <t>CM EL JORDAN</t>
  </si>
  <si>
    <t>CR 7 # 11D-20</t>
  </si>
  <si>
    <t>CM LINDA</t>
  </si>
  <si>
    <t>CL 11 CR 5-65</t>
  </si>
  <si>
    <t>CM DONDE QUILLA</t>
  </si>
  <si>
    <t>CL 12A # 3-8</t>
  </si>
  <si>
    <t>CM MICROMERCADO</t>
  </si>
  <si>
    <t>CR 7 # 2-13</t>
  </si>
  <si>
    <t>CM MODA Y ESTILO</t>
  </si>
  <si>
    <t>CR 33 # 6-72</t>
  </si>
  <si>
    <t>CM PAYARES</t>
  </si>
  <si>
    <t>CL 1C # 10-87</t>
  </si>
  <si>
    <t>CM VARIEDADES EMELI</t>
  </si>
  <si>
    <t>CL 2 # 4-08</t>
  </si>
  <si>
    <t>CM DULCE VANIDAD 2</t>
  </si>
  <si>
    <t>CL 2 # 8-25</t>
  </si>
  <si>
    <t>CM TECNO SMARTPHONE</t>
  </si>
  <si>
    <t>CL 8 # 7-88</t>
  </si>
  <si>
    <t>CM GALLARDO CELL</t>
  </si>
  <si>
    <t>CR 26 # 5-70</t>
  </si>
  <si>
    <t>CM VARIEDADES SAGESHA</t>
  </si>
  <si>
    <t>CL 1A SUR # 20-60</t>
  </si>
  <si>
    <t>CM VARIEDADES JAMAICA 2</t>
  </si>
  <si>
    <t>CRA 10 # 14A-6</t>
  </si>
  <si>
    <t>CM JEDAR</t>
  </si>
  <si>
    <t>CL 10N #30-49</t>
  </si>
  <si>
    <t>CM EL MACHETE</t>
  </si>
  <si>
    <t>CL 12A CR 15-181</t>
  </si>
  <si>
    <t>CM EL CACIQUE 2</t>
  </si>
  <si>
    <t>CR 1A CL 2-66</t>
  </si>
  <si>
    <t>CM KELIS 2</t>
  </si>
  <si>
    <t>MZ J CASA 20</t>
  </si>
  <si>
    <t>CM ARBOLEDA J</t>
  </si>
  <si>
    <t>MZ 8 CS 10</t>
  </si>
  <si>
    <t>CM TIENDA MI BARRIO</t>
  </si>
  <si>
    <t>CL 4  # 4A-149</t>
  </si>
  <si>
    <t>CM ADRIANA</t>
  </si>
  <si>
    <t>MZ M CASA 15</t>
  </si>
  <si>
    <t xml:space="preserve">CM LA CANCHA </t>
  </si>
  <si>
    <t>CL 13 #1-92</t>
  </si>
  <si>
    <t>CM DERIS</t>
  </si>
  <si>
    <t>MZ F CASA 52</t>
  </si>
  <si>
    <t xml:space="preserve">CM HIJO DE DIOS </t>
  </si>
  <si>
    <t xml:space="preserve">KR 5 8-125 </t>
  </si>
  <si>
    <t>CM DROGUERIA FE Y AMOR</t>
  </si>
  <si>
    <t>CR 20 # 22C-55</t>
  </si>
  <si>
    <t>CM ROYER</t>
  </si>
  <si>
    <t xml:space="preserve">MZ 6 CS 16 </t>
  </si>
  <si>
    <t>CM ARBOLEDA</t>
  </si>
  <si>
    <t>CR 3 #5-20</t>
  </si>
  <si>
    <t xml:space="preserve">CM AILIANYS </t>
  </si>
  <si>
    <t>TV 26 #18A-40</t>
  </si>
  <si>
    <t>CM RECORDAR ES VIVIR</t>
  </si>
  <si>
    <t xml:space="preserve">CL 7 #27-28 </t>
  </si>
  <si>
    <t>CM VARIEDADES NICO 1</t>
  </si>
  <si>
    <t>CL 13 #9-109</t>
  </si>
  <si>
    <t>CM LA CHIKI</t>
  </si>
  <si>
    <t>CL 13 #2-35</t>
  </si>
  <si>
    <t>CM LUCY</t>
  </si>
  <si>
    <t>CR 16 CL 26 #25-62</t>
  </si>
  <si>
    <t>CM LINA</t>
  </si>
  <si>
    <t>CL 16 # 19-08</t>
  </si>
  <si>
    <t>CM TIENDA ROMERO DIAZ</t>
  </si>
  <si>
    <t xml:space="preserve">CR 9 #15-39 </t>
  </si>
  <si>
    <t xml:space="preserve">CM VARIEDADES EMMA VICTORIA </t>
  </si>
  <si>
    <t>CR 19 #17-67</t>
  </si>
  <si>
    <t xml:space="preserve">CM EL RECREO </t>
  </si>
  <si>
    <t>CL 12 CS 85</t>
  </si>
  <si>
    <t>CM LAS TABLITAS</t>
  </si>
  <si>
    <t>CL 44 # 19-14</t>
  </si>
  <si>
    <t>CM LA 44</t>
  </si>
  <si>
    <t>KDX #120-1</t>
  </si>
  <si>
    <t>CM EDS BESOTES</t>
  </si>
  <si>
    <t xml:space="preserve">CL 9C #8-05 </t>
  </si>
  <si>
    <t xml:space="preserve">CM LAS DELICIAS </t>
  </si>
  <si>
    <t xml:space="preserve">KDX 246 </t>
  </si>
  <si>
    <t>CM PRADO GAMARRA</t>
  </si>
  <si>
    <t xml:space="preserve">CL 2C #16-5 </t>
  </si>
  <si>
    <t xml:space="preserve">CM PAPELERIA LEÓN </t>
  </si>
  <si>
    <t>CL 1 #22-45</t>
  </si>
  <si>
    <t>CM KAROLL 1</t>
  </si>
  <si>
    <t>KDX 81</t>
  </si>
  <si>
    <t>CM NOREAN 2.0</t>
  </si>
  <si>
    <t>KDX 47-1</t>
  </si>
  <si>
    <t>CM JUNCAL 2.0</t>
  </si>
  <si>
    <t>CR 9 CL 2-35</t>
  </si>
  <si>
    <t>CM GABRIELA</t>
  </si>
  <si>
    <t xml:space="preserve">CR 4 13A-4 </t>
  </si>
  <si>
    <t>CM PROVISIONES ANDREA</t>
  </si>
  <si>
    <t xml:space="preserve">TV 8 #9-31 </t>
  </si>
  <si>
    <t>CM BAKARI</t>
  </si>
  <si>
    <t xml:space="preserve">CL 8 #5A-99 </t>
  </si>
  <si>
    <t>CM JORGE ELIECER GAITÁN</t>
  </si>
  <si>
    <t>CRRT VIA CODAZZI KM 40-45</t>
  </si>
  <si>
    <t>PDV CASETA NUEVAS FLORES</t>
  </si>
  <si>
    <t xml:space="preserve">CL 3A CR 4A </t>
  </si>
  <si>
    <t>CM MORRISON</t>
  </si>
  <si>
    <t xml:space="preserve">CL 3 CR 3-81 </t>
  </si>
  <si>
    <t>CM PAPELERIA VICMAY</t>
  </si>
  <si>
    <t xml:space="preserve">KR 9 #1C-30 </t>
  </si>
  <si>
    <t xml:space="preserve">CM JP </t>
  </si>
  <si>
    <t xml:space="preserve">CL 1 BIS-18 </t>
  </si>
  <si>
    <t>CM CAMILA</t>
  </si>
  <si>
    <t xml:space="preserve">CR 11 12 BIS-18 </t>
  </si>
  <si>
    <t>CM NINI</t>
  </si>
  <si>
    <t xml:space="preserve">CR 30 #7-23 </t>
  </si>
  <si>
    <t xml:space="preserve">CM MARACUCHO </t>
  </si>
  <si>
    <t>CR 4B-112</t>
  </si>
  <si>
    <t>CM METRO 2</t>
  </si>
  <si>
    <t xml:space="preserve">MZ 7 CS 10 </t>
  </si>
  <si>
    <t>CM JD MOBIL</t>
  </si>
  <si>
    <t xml:space="preserve">CL 3 CR 10-06 </t>
  </si>
  <si>
    <t>CM JAIMES</t>
  </si>
  <si>
    <t>SECT 1 MZ 0 CS 20</t>
  </si>
  <si>
    <t>CM VILLA TAXI</t>
  </si>
  <si>
    <t xml:space="preserve">MZ I-748 </t>
  </si>
  <si>
    <t>CM ROCHACELL</t>
  </si>
  <si>
    <t xml:space="preserve">CR 21 CL 14 -47 </t>
  </si>
  <si>
    <t xml:space="preserve">CM TIENDA MONTERREY </t>
  </si>
  <si>
    <t>CORREGIMIENTO LAS FLOREZ</t>
  </si>
  <si>
    <t>CM LAS FLOREZ 2</t>
  </si>
  <si>
    <t>CL 5C #19E-67</t>
  </si>
  <si>
    <t>CM MINIMARKET</t>
  </si>
  <si>
    <t>CL 6 KR 7-61</t>
  </si>
  <si>
    <t>CM SUSA RH</t>
  </si>
  <si>
    <t xml:space="preserve">CR 13 #11-1 </t>
  </si>
  <si>
    <t xml:space="preserve">CM LEIDY </t>
  </si>
  <si>
    <t xml:space="preserve">CL 21 #19-35 </t>
  </si>
  <si>
    <t>CM VARIEDADES JR</t>
  </si>
  <si>
    <t xml:space="preserve">CL 2 1A-84 </t>
  </si>
  <si>
    <t>CM TIENDA CENTRAL</t>
  </si>
  <si>
    <t>CL 12 #10-25</t>
  </si>
  <si>
    <t>CM EL OBRERO</t>
  </si>
  <si>
    <t xml:space="preserve">MZ N KS 10 </t>
  </si>
  <si>
    <t xml:space="preserve">CM LEONELA </t>
  </si>
  <si>
    <t xml:space="preserve">CL 2  KR 7-33 </t>
  </si>
  <si>
    <t xml:space="preserve">CM DROGUERIA BETHEL </t>
  </si>
  <si>
    <t xml:space="preserve">TRANSV 25 # 20A-48 </t>
  </si>
  <si>
    <t>CM PROVISIONES MARY</t>
  </si>
  <si>
    <t xml:space="preserve">CR 8 #2B-06 </t>
  </si>
  <si>
    <t>CM BETICOS MEMORIES</t>
  </si>
  <si>
    <t xml:space="preserve">MZ 12 CS 1 </t>
  </si>
  <si>
    <t>CM BAYSHARIKA</t>
  </si>
  <si>
    <t>CR 7 CL 7-135</t>
  </si>
  <si>
    <t>CM TIENDA LA 7</t>
  </si>
  <si>
    <t>CARRET VIA LAS CASITAS KM 8-600</t>
  </si>
  <si>
    <t>CM LAS CASITAS</t>
  </si>
  <si>
    <t>CL 8 #21-6 APTO2</t>
  </si>
  <si>
    <t xml:space="preserve">CM VARIEDADES LA BENDICIÓN </t>
  </si>
  <si>
    <t>KR 7 #7-26 APTO 1 BARRIO CENTRO</t>
  </si>
  <si>
    <t>CM SANDRA CH</t>
  </si>
  <si>
    <t xml:space="preserve">CL 29 #4-5 </t>
  </si>
  <si>
    <t>CM 27 DE ABRIL</t>
  </si>
  <si>
    <t>CL 11B # 9-33</t>
  </si>
  <si>
    <t>CM TIENDA LOS VARAOS</t>
  </si>
  <si>
    <t xml:space="preserve">CR 6 8A-57 APTO 1  </t>
  </si>
  <si>
    <t xml:space="preserve">CR 16 #9-91 </t>
  </si>
  <si>
    <t xml:space="preserve">CM DIOS ES AMOR </t>
  </si>
  <si>
    <t>CR 9A 1N-32</t>
  </si>
  <si>
    <t>CM DARY</t>
  </si>
  <si>
    <t xml:space="preserve">CR 4 CL 11-15 </t>
  </si>
  <si>
    <t>CM MILAGROS</t>
  </si>
  <si>
    <t>CL 5 # 3-157</t>
  </si>
  <si>
    <t>CM NANCY</t>
  </si>
  <si>
    <t>CL 21 CR 7-21</t>
  </si>
  <si>
    <t>CM LA HERMOSA</t>
  </si>
  <si>
    <t>CR 14 $ 6-25</t>
  </si>
  <si>
    <t>CM 4 ESQUINA</t>
  </si>
  <si>
    <t>DG AL PARQUE #38637</t>
  </si>
  <si>
    <t>CM TIENDA LA FE EEUU</t>
  </si>
  <si>
    <t>CLL 8 #33B-39</t>
  </si>
  <si>
    <t>CM ROSA</t>
  </si>
  <si>
    <t xml:space="preserve">CL 7 # 4-52 LOC 5 </t>
  </si>
  <si>
    <t>CM MV</t>
  </si>
  <si>
    <t>MZ 6 CASA 16</t>
  </si>
  <si>
    <t>CM PUTIN</t>
  </si>
  <si>
    <t xml:space="preserve">CL 11 # 6-45 </t>
  </si>
  <si>
    <t>CM CIBER VARGAS 2</t>
  </si>
  <si>
    <t>CR 9 CL 9-139</t>
  </si>
  <si>
    <t>CM AURYCOPIAS</t>
  </si>
  <si>
    <t>CL 7 # 6-45</t>
  </si>
  <si>
    <t>CM LA AURORA RH</t>
  </si>
  <si>
    <t>TV 10A # 8-31</t>
  </si>
  <si>
    <t>CM PAPELERIA JIREH</t>
  </si>
  <si>
    <t>CR 23 CL 22-15</t>
  </si>
  <si>
    <t>CM RUTH</t>
  </si>
  <si>
    <t>CR 5 CL 6-32</t>
  </si>
  <si>
    <t>CM JOSUE</t>
  </si>
  <si>
    <t>CL 16 # 10-71</t>
  </si>
  <si>
    <t>CM GISEL</t>
  </si>
  <si>
    <t>CL 44 CR 5C-43</t>
  </si>
  <si>
    <t>CM DROGUERIA FARMA PLUS</t>
  </si>
  <si>
    <t>CL 2 # 5-20</t>
  </si>
  <si>
    <t>CM MISCELANEA FRANCI</t>
  </si>
  <si>
    <t>CL 11 # 8-10</t>
  </si>
  <si>
    <t>CM LAS DELICIAS RH</t>
  </si>
  <si>
    <t>CR 18 #17-29</t>
  </si>
  <si>
    <t>CM EL CRUCE</t>
  </si>
  <si>
    <t>CR 5 CL 6A-81</t>
  </si>
  <si>
    <t>CR 5A #6N-52</t>
  </si>
  <si>
    <t>CM LEDIS</t>
  </si>
  <si>
    <t>CL 21 # 9-55</t>
  </si>
  <si>
    <t>CM LA 21</t>
  </si>
  <si>
    <t>CL 21 CR 10-8</t>
  </si>
  <si>
    <t>CM CALZADO CAMI</t>
  </si>
  <si>
    <t>CR 5 #14-81</t>
  </si>
  <si>
    <t>PDV SECRETARIA DE HACIENDA</t>
  </si>
  <si>
    <t>CR 1A # 15-62</t>
  </si>
  <si>
    <t>CM YESICA DIVINO NIÑO</t>
  </si>
  <si>
    <t>CR 21A CL 32-34</t>
  </si>
  <si>
    <t>CM ELIZABETH</t>
  </si>
  <si>
    <t>CR 25 # 22-2</t>
  </si>
  <si>
    <t>CM SHAYRA</t>
  </si>
  <si>
    <t>CR 18 # 12-45</t>
  </si>
  <si>
    <t>CR 11 CL 2-62</t>
  </si>
  <si>
    <t>CM LA CAMPESINA</t>
  </si>
  <si>
    <t>MZ 5 CASA # 2</t>
  </si>
  <si>
    <t>CM PROVISIONES THIAGO</t>
  </si>
  <si>
    <t>CR 13 # 39-26</t>
  </si>
  <si>
    <t>CM VARIEDADES NEYDAN</t>
  </si>
  <si>
    <t>CL 15A # 12-98</t>
  </si>
  <si>
    <t>CM YANIRIS</t>
  </si>
  <si>
    <t>CR 40 # 5N-27</t>
  </si>
  <si>
    <t>CL PPAL LA LLANA</t>
  </si>
  <si>
    <t>CM PAPELERIA ANGIE</t>
  </si>
  <si>
    <t>CR 15B # 12-74</t>
  </si>
  <si>
    <t>CM EL PERDON 2.0</t>
  </si>
  <si>
    <t>CR 5A CL 1B-26</t>
  </si>
  <si>
    <t>CM LAS DELICIAS</t>
  </si>
  <si>
    <t>CR 15 # 19-25</t>
  </si>
  <si>
    <t>CM MAICOL</t>
  </si>
  <si>
    <t xml:space="preserve">CL 22 # 7A-8 </t>
  </si>
  <si>
    <t>CM LUISA CH</t>
  </si>
  <si>
    <t>CL 8 # 11-50</t>
  </si>
  <si>
    <t>CM ELIZA SAN JOSE</t>
  </si>
  <si>
    <t>DG 24 # 63 BL-51 APT 104</t>
  </si>
  <si>
    <t>CM DONDE CARO</t>
  </si>
  <si>
    <t>CR 2 CL 5-11</t>
  </si>
  <si>
    <t>CM FERROAGRO</t>
  </si>
  <si>
    <t>CL 7 # 15-66</t>
  </si>
  <si>
    <t>CM LUZ ELENA CH</t>
  </si>
  <si>
    <t>TV 15A # 30-24</t>
  </si>
  <si>
    <t>CM VIANE</t>
  </si>
  <si>
    <t>MZ E CASA 30</t>
  </si>
  <si>
    <t>CM VARIEDADES GSM</t>
  </si>
  <si>
    <t xml:space="preserve">MZ D LOTE 21 </t>
  </si>
  <si>
    <t>CM EDITH SINIVA</t>
  </si>
  <si>
    <t>CR 8 CL 7-40</t>
  </si>
  <si>
    <t>CM GONZALO</t>
  </si>
  <si>
    <t>CL 23 # 16-22</t>
  </si>
  <si>
    <t>CM ALEJANDRA</t>
  </si>
  <si>
    <t>CL 3 # 10-212</t>
  </si>
  <si>
    <t>CM MARIA JULIANA</t>
  </si>
  <si>
    <t>CL 2 SUR 3-18</t>
  </si>
  <si>
    <t>CM ALEXA</t>
  </si>
  <si>
    <t>CL 26 CR 12-21</t>
  </si>
  <si>
    <t>CM PUEBLITO</t>
  </si>
  <si>
    <t>CR 14 # 11A-103</t>
  </si>
  <si>
    <t>CM MAIRA</t>
  </si>
  <si>
    <t xml:space="preserve">FRENTE A LA CANCHA </t>
  </si>
  <si>
    <t>CM MINGUILLO</t>
  </si>
  <si>
    <t>CR 27 # 55-14</t>
  </si>
  <si>
    <t>CM LA OFICINA DE SAM</t>
  </si>
  <si>
    <t>CR 21 CL 21-50</t>
  </si>
  <si>
    <t>CL 23A # 30-172</t>
  </si>
  <si>
    <t>CM DANIELA</t>
  </si>
  <si>
    <t>CL 1BIS # 11-28</t>
  </si>
  <si>
    <t xml:space="preserve">NOA MZ 6 CASA B </t>
  </si>
  <si>
    <t>CM SAN GABRIEL 1</t>
  </si>
  <si>
    <t>CL 1 # 5E-13</t>
  </si>
  <si>
    <t>CM BELLA SHELDY</t>
  </si>
  <si>
    <t>CR 12 # 4A-37</t>
  </si>
  <si>
    <t>CM DAYANA</t>
  </si>
  <si>
    <t>CL 25 CR 19 # 18B-101</t>
  </si>
  <si>
    <t>CM DINASTIA</t>
  </si>
  <si>
    <t>CL 11 N # 6A-85</t>
  </si>
  <si>
    <t>CR 11 # 11-51</t>
  </si>
  <si>
    <t>CM ASHLEY</t>
  </si>
  <si>
    <t>CL 9 # 5-126</t>
  </si>
  <si>
    <t>CM BEAUTY SALON PB</t>
  </si>
  <si>
    <t xml:space="preserve">LOTE 2 MZ6 </t>
  </si>
  <si>
    <t>CM VILLA NIDIA</t>
  </si>
  <si>
    <t>CL 21 # 10-36</t>
  </si>
  <si>
    <t>CM LA VICTORIA</t>
  </si>
  <si>
    <t>CL 26 # 21-03</t>
  </si>
  <si>
    <t>CM VARIEDADES KAREN</t>
  </si>
  <si>
    <t>TV 1A DG 5-2</t>
  </si>
  <si>
    <t>CM TIENDA EL 17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</si>
</sst>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40% - Énfasis1" xfId="1" builtinId="3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escargas\Territorio.xlsx" TargetMode="External"/><Relationship Id="rId1" Type="http://schemas.openxmlformats.org/officeDocument/2006/relationships/externalLinkPath" Target="file:///N:\Descargas\Territo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 territorios"/>
      <sheetName val="SQL Statement"/>
    </sheetNames>
    <sheetDataSet>
      <sheetData sheetId="0" refreshError="1">
        <row r="1">
          <cell r="C1" t="str">
            <v>CODIGO</v>
          </cell>
          <cell r="D1" t="str">
            <v>NOMBRE</v>
          </cell>
          <cell r="E1" t="str">
            <v>NEGOCIO</v>
          </cell>
          <cell r="F1" t="str">
            <v>CODIGODANE</v>
          </cell>
          <cell r="G1" t="str">
            <v>NITALTERNO</v>
          </cell>
          <cell r="H1" t="str">
            <v>NOMBREALTERNO</v>
          </cell>
          <cell r="I1" t="str">
            <v>CODIGOSNS</v>
          </cell>
          <cell r="J1" t="str">
            <v>VERSION</v>
          </cell>
          <cell r="K1" t="str">
            <v>EMPRESA_CODIGO</v>
          </cell>
          <cell r="L1" t="str">
            <v>LATITUD</v>
          </cell>
          <cell r="M1" t="str">
            <v>LONGITUD</v>
          </cell>
        </row>
        <row r="2">
          <cell r="C2">
            <v>7033</v>
          </cell>
          <cell r="D2" t="str">
            <v>AMBULANTE CLARO SAN DIEGO</v>
          </cell>
          <cell r="E2" t="str">
            <v>S</v>
          </cell>
          <cell r="F2" t="str">
            <v>20750</v>
          </cell>
          <cell r="G2" t="str">
            <v xml:space="preserve">AMB </v>
          </cell>
          <cell r="H2" t="str">
            <v>CL||4|||||#|8||-|47|||</v>
          </cell>
          <cell r="J2">
            <v>120523</v>
          </cell>
          <cell r="L2" t="str">
            <v>10.335776</v>
          </cell>
          <cell r="M2" t="str">
            <v>-73.178657</v>
          </cell>
        </row>
        <row r="3">
          <cell r="C3">
            <v>7040</v>
          </cell>
          <cell r="D3" t="str">
            <v>AMBULANTE MOVISTAR RIO DE ORO</v>
          </cell>
          <cell r="E3" t="str">
            <v>S</v>
          </cell>
          <cell r="F3" t="str">
            <v>20614</v>
          </cell>
          <cell r="G3" t="str">
            <v xml:space="preserve">AMB </v>
          </cell>
          <cell r="H3" t="str">
            <v>CL||1|||||#|2||-|117|||</v>
          </cell>
          <cell r="J3">
            <v>120523</v>
          </cell>
          <cell r="L3" t="str">
            <v>8.29129694</v>
          </cell>
          <cell r="M3" t="str">
            <v>-73.38600666</v>
          </cell>
        </row>
        <row r="4">
          <cell r="C4">
            <v>7041</v>
          </cell>
          <cell r="D4" t="str">
            <v>AMBULANTE CLARO RIO DE ORO</v>
          </cell>
          <cell r="E4" t="str">
            <v>S</v>
          </cell>
          <cell r="F4" t="str">
            <v>20614</v>
          </cell>
          <cell r="G4" t="str">
            <v xml:space="preserve">AMB </v>
          </cell>
          <cell r="H4" t="str">
            <v>CL||1|||||#|2||-|117|||</v>
          </cell>
          <cell r="J4">
            <v>0</v>
          </cell>
        </row>
        <row r="5">
          <cell r="C5">
            <v>7046</v>
          </cell>
          <cell r="D5" t="str">
            <v>OFICINA PRINCIPAL PELAYA</v>
          </cell>
          <cell r="E5" t="str">
            <v>S</v>
          </cell>
          <cell r="F5" t="str">
            <v>20550</v>
          </cell>
          <cell r="G5" t="str">
            <v xml:space="preserve">CDA </v>
          </cell>
          <cell r="H5" t="str">
            <v>CR||8|||||#|9||-|50|||</v>
          </cell>
          <cell r="J5">
            <v>120523</v>
          </cell>
          <cell r="L5" t="str">
            <v>8.690177</v>
          </cell>
          <cell r="M5" t="str">
            <v>-73.663931</v>
          </cell>
        </row>
        <row r="6">
          <cell r="C6">
            <v>7094</v>
          </cell>
          <cell r="D6" t="str">
            <v>OFICINA PRINCIPAL CHIRIGUANA</v>
          </cell>
          <cell r="E6" t="str">
            <v>S</v>
          </cell>
          <cell r="F6" t="str">
            <v>20178</v>
          </cell>
          <cell r="G6" t="str">
            <v xml:space="preserve">CDA </v>
          </cell>
          <cell r="H6" t="str">
            <v>CR 4 # 7-07 BARRIO EL CENTRO</v>
          </cell>
          <cell r="J6">
            <v>0</v>
          </cell>
          <cell r="L6" t="str">
            <v>9.36396206</v>
          </cell>
          <cell r="M6" t="str">
            <v>-73.60350189</v>
          </cell>
        </row>
        <row r="7">
          <cell r="C7">
            <v>7104</v>
          </cell>
          <cell r="D7" t="str">
            <v>AMBULANTE MOVISTAR EL PASO</v>
          </cell>
          <cell r="E7" t="str">
            <v>S</v>
          </cell>
          <cell r="F7" t="str">
            <v>20250</v>
          </cell>
          <cell r="G7" t="str">
            <v xml:space="preserve">AMB </v>
          </cell>
          <cell r="H7" t="str">
            <v>CR||16|||||#|5||-|20|||</v>
          </cell>
          <cell r="J7">
            <v>120523</v>
          </cell>
          <cell r="L7" t="str">
            <v>9.6589</v>
          </cell>
          <cell r="M7" t="str">
            <v>-73.7507</v>
          </cell>
        </row>
        <row r="8">
          <cell r="C8">
            <v>7179</v>
          </cell>
          <cell r="D8" t="str">
            <v>CM LA MEZA CORREGIMIENTO</v>
          </cell>
          <cell r="E8" t="str">
            <v>S</v>
          </cell>
          <cell r="F8" t="str">
            <v>20001</v>
          </cell>
          <cell r="G8" t="str">
            <v>CM</v>
          </cell>
          <cell r="H8" t="str">
            <v>OT|||||||||||||VIA LA MESA|KM 14 - 330</v>
          </cell>
          <cell r="J8">
            <v>0</v>
          </cell>
        </row>
        <row r="9">
          <cell r="C9">
            <v>7028</v>
          </cell>
          <cell r="D9" t="str">
            <v>AMBULANTE MOVISTAR BOSCONIA</v>
          </cell>
          <cell r="E9" t="str">
            <v>S</v>
          </cell>
          <cell r="F9" t="str">
            <v>20060</v>
          </cell>
          <cell r="G9" t="str">
            <v xml:space="preserve">AMB </v>
          </cell>
          <cell r="H9" t="str">
            <v>CR||18|||||#|16||-|68|||</v>
          </cell>
          <cell r="J9">
            <v>0</v>
          </cell>
          <cell r="L9" t="str">
            <v>9.9723</v>
          </cell>
          <cell r="M9" t="str">
            <v>-73.8858</v>
          </cell>
        </row>
        <row r="10">
          <cell r="C10">
            <v>7029</v>
          </cell>
          <cell r="D10" t="str">
            <v>AMBULANTE CLARO BOSCONIA</v>
          </cell>
          <cell r="E10" t="str">
            <v>S</v>
          </cell>
          <cell r="F10" t="str">
            <v>20060</v>
          </cell>
          <cell r="G10" t="str">
            <v xml:space="preserve">AMB </v>
          </cell>
          <cell r="H10" t="str">
            <v>CR||18|||||#|16||-|68|||</v>
          </cell>
          <cell r="J10">
            <v>0</v>
          </cell>
          <cell r="L10" t="str">
            <v>9.9723</v>
          </cell>
          <cell r="M10" t="str">
            <v>-73.8858</v>
          </cell>
        </row>
        <row r="11">
          <cell r="C11">
            <v>7035</v>
          </cell>
          <cell r="D11" t="str">
            <v>AMBULANTE TIGO SAN MARTIN</v>
          </cell>
          <cell r="E11" t="str">
            <v>S</v>
          </cell>
          <cell r="F11" t="str">
            <v>20770</v>
          </cell>
          <cell r="G11" t="str">
            <v xml:space="preserve">AMB </v>
          </cell>
          <cell r="H11" t="str">
            <v>CL||15|||||#|7||-|50|||</v>
          </cell>
          <cell r="J11">
            <v>0</v>
          </cell>
        </row>
        <row r="12">
          <cell r="C12">
            <v>7038</v>
          </cell>
          <cell r="D12" t="str">
            <v>OFICINA PRINCIPAL SAN MARTIN</v>
          </cell>
          <cell r="E12" t="str">
            <v>S</v>
          </cell>
          <cell r="F12" t="str">
            <v>20770</v>
          </cell>
          <cell r="G12" t="str">
            <v xml:space="preserve">CDA </v>
          </cell>
          <cell r="H12" t="str">
            <v xml:space="preserve">CARRERA 8 # 15 ¿ 54 LOCAL 4 </v>
          </cell>
          <cell r="J12">
            <v>0</v>
          </cell>
          <cell r="L12" t="str">
            <v>8.00211</v>
          </cell>
          <cell r="M12" t="str">
            <v>-73.51164</v>
          </cell>
        </row>
        <row r="13">
          <cell r="C13">
            <v>7057</v>
          </cell>
          <cell r="D13" t="str">
            <v>AMBULANTE CLARO CODAZZI</v>
          </cell>
          <cell r="E13" t="str">
            <v>S</v>
          </cell>
          <cell r="F13" t="str">
            <v>20013</v>
          </cell>
          <cell r="G13" t="str">
            <v xml:space="preserve">AMB </v>
          </cell>
          <cell r="H13" t="str">
            <v>CL||17|||||#|15||-|111|||</v>
          </cell>
          <cell r="J13">
            <v>120523</v>
          </cell>
          <cell r="L13" t="str">
            <v>10.03699</v>
          </cell>
          <cell r="M13" t="str">
            <v>-73.23657</v>
          </cell>
        </row>
        <row r="14">
          <cell r="C14">
            <v>9138</v>
          </cell>
          <cell r="D14" t="str">
            <v>PDV LA 23 DE MI FUTURO</v>
          </cell>
          <cell r="E14" t="str">
            <v>S</v>
          </cell>
          <cell r="F14" t="str">
            <v>20001</v>
          </cell>
          <cell r="G14" t="str">
            <v xml:space="preserve">PDV </v>
          </cell>
          <cell r="H14" t="str">
            <v>CR||20|||||#|22|C|-|4|||</v>
          </cell>
          <cell r="J14">
            <v>120523</v>
          </cell>
          <cell r="L14" t="str">
            <v>10.461419</v>
          </cell>
          <cell r="M14" t="str">
            <v>-73.263254</v>
          </cell>
        </row>
        <row r="15">
          <cell r="C15">
            <v>8773</v>
          </cell>
          <cell r="D15" t="str">
            <v>CM GRANERO EL PAISA</v>
          </cell>
          <cell r="E15" t="str">
            <v>S</v>
          </cell>
          <cell r="F15" t="str">
            <v>20750</v>
          </cell>
          <cell r="G15" t="str">
            <v xml:space="preserve">CM </v>
          </cell>
          <cell r="H15" t="str">
            <v>CL||3|||||#|15||-|125|||</v>
          </cell>
          <cell r="J15">
            <v>120523</v>
          </cell>
          <cell r="L15" t="str">
            <v>10.3351</v>
          </cell>
          <cell r="M15" t="str">
            <v>-73.179</v>
          </cell>
        </row>
        <row r="16">
          <cell r="C16">
            <v>8965</v>
          </cell>
          <cell r="D16" t="str">
            <v>CM RANCHO GRANDE</v>
          </cell>
          <cell r="E16" t="str">
            <v>S</v>
          </cell>
          <cell r="F16" t="str">
            <v>20517</v>
          </cell>
          <cell r="G16" t="str">
            <v>CM</v>
          </cell>
          <cell r="H16" t="str">
            <v>CR 6  5 - 9</v>
          </cell>
          <cell r="J16">
            <v>0</v>
          </cell>
        </row>
        <row r="17">
          <cell r="C17">
            <v>8454</v>
          </cell>
          <cell r="D17" t="str">
            <v>CM EL PARQUE CODAZZI</v>
          </cell>
          <cell r="E17" t="str">
            <v>S</v>
          </cell>
          <cell r="F17" t="str">
            <v>20013</v>
          </cell>
          <cell r="G17" t="str">
            <v>CM</v>
          </cell>
          <cell r="H17" t="str">
            <v>CL 17 CR 16 - 11</v>
          </cell>
          <cell r="J17">
            <v>0</v>
          </cell>
        </row>
        <row r="18">
          <cell r="C18">
            <v>8472</v>
          </cell>
          <cell r="D18" t="str">
            <v>CM HELADERIA EL SITIO</v>
          </cell>
          <cell r="E18" t="str">
            <v>S</v>
          </cell>
          <cell r="F18" t="str">
            <v>20400</v>
          </cell>
          <cell r="G18" t="str">
            <v>CM</v>
          </cell>
          <cell r="H18" t="str">
            <v>CL 4  3A - 48</v>
          </cell>
          <cell r="J18">
            <v>0</v>
          </cell>
        </row>
        <row r="19">
          <cell r="C19">
            <v>8470</v>
          </cell>
          <cell r="D19" t="str">
            <v>PDV SALGUERO</v>
          </cell>
          <cell r="E19" t="str">
            <v>S</v>
          </cell>
          <cell r="F19" t="str">
            <v>20001</v>
          </cell>
          <cell r="G19" t="str">
            <v xml:space="preserve">PDV </v>
          </cell>
          <cell r="H19" t="str">
            <v>CL||19|B||||#|5|A|-|51|||</v>
          </cell>
          <cell r="J19">
            <v>120523</v>
          </cell>
          <cell r="L19" t="str">
            <v>10.4692</v>
          </cell>
          <cell r="M19" t="str">
            <v>-73.2432</v>
          </cell>
        </row>
        <row r="20">
          <cell r="C20">
            <v>7116</v>
          </cell>
          <cell r="D20" t="str">
            <v xml:space="preserve">DROG NEWYORK-CALL16B 8-03 </v>
          </cell>
          <cell r="E20" t="str">
            <v>S</v>
          </cell>
          <cell r="F20" t="str">
            <v>20001</v>
          </cell>
          <cell r="G20" t="str">
            <v>CM</v>
          </cell>
          <cell r="H20" t="str">
            <v>CR||12|||||#|16||-|42|||</v>
          </cell>
          <cell r="J20">
            <v>120523</v>
          </cell>
          <cell r="L20" t="str">
            <v>10.4741</v>
          </cell>
          <cell r="M20" t="str">
            <v>-73.2456</v>
          </cell>
        </row>
        <row r="21">
          <cell r="C21">
            <v>7236</v>
          </cell>
          <cell r="D21" t="str">
            <v>PDV VARIEDADES SANTINY</v>
          </cell>
          <cell r="E21" t="str">
            <v>S</v>
          </cell>
          <cell r="F21" t="str">
            <v>20001</v>
          </cell>
          <cell r="G21" t="str">
            <v xml:space="preserve">PDV </v>
          </cell>
          <cell r="H21" t="str">
            <v>CL||6|||||#|40||-|33|||</v>
          </cell>
          <cell r="J21">
            <v>120523</v>
          </cell>
          <cell r="L21" t="str">
            <v>10.477891</v>
          </cell>
          <cell r="M21" t="str">
            <v>-73.280697</v>
          </cell>
        </row>
        <row r="22">
          <cell r="C22">
            <v>8578</v>
          </cell>
          <cell r="D22" t="str">
            <v>CM LAS CAMPANAS</v>
          </cell>
          <cell r="E22" t="str">
            <v>S</v>
          </cell>
          <cell r="F22" t="str">
            <v>20011</v>
          </cell>
          <cell r="G22" t="str">
            <v>CM</v>
          </cell>
          <cell r="H22" t="str">
            <v>KM 3 VIA AL MAR</v>
          </cell>
          <cell r="J22">
            <v>0</v>
          </cell>
        </row>
        <row r="23">
          <cell r="C23">
            <v>8781</v>
          </cell>
          <cell r="D23" t="str">
            <v>CM CICLOMOTO VALLEDUPAR</v>
          </cell>
          <cell r="E23" t="str">
            <v>S</v>
          </cell>
          <cell r="F23" t="str">
            <v>20001</v>
          </cell>
          <cell r="G23" t="str">
            <v>CM</v>
          </cell>
          <cell r="H23" t="str">
            <v>CL 16C  35 - 74</v>
          </cell>
          <cell r="J23">
            <v>0</v>
          </cell>
        </row>
        <row r="24">
          <cell r="C24">
            <v>9194</v>
          </cell>
          <cell r="D24" t="str">
            <v>PDV LA 23 LA ESPERANZA</v>
          </cell>
          <cell r="E24" t="str">
            <v>S</v>
          </cell>
          <cell r="F24" t="str">
            <v>20001</v>
          </cell>
          <cell r="G24" t="str">
            <v xml:space="preserve">PDV </v>
          </cell>
          <cell r="H24" t="str">
            <v>DG||18|||||#|24||-|57|||</v>
          </cell>
          <cell r="J24">
            <v>120523</v>
          </cell>
          <cell r="L24" t="str">
            <v>10.4794838</v>
          </cell>
          <cell r="M24" t="str">
            <v>-73.27139401</v>
          </cell>
        </row>
        <row r="25">
          <cell r="C25">
            <v>7178</v>
          </cell>
          <cell r="D25" t="str">
            <v>CM VILLA CORELCA</v>
          </cell>
          <cell r="E25" t="str">
            <v>S</v>
          </cell>
          <cell r="F25" t="str">
            <v>20001</v>
          </cell>
          <cell r="G25" t="str">
            <v>CM</v>
          </cell>
          <cell r="H25" t="str">
            <v>TR||25|A||||#|16||-|62|||</v>
          </cell>
          <cell r="J25">
            <v>0</v>
          </cell>
        </row>
        <row r="26">
          <cell r="C26">
            <v>7199</v>
          </cell>
          <cell r="D26" t="str">
            <v>PDV LOCAL 2 NORTE</v>
          </cell>
          <cell r="E26" t="str">
            <v>S</v>
          </cell>
          <cell r="F26" t="str">
            <v>20011</v>
          </cell>
          <cell r="G26" t="str">
            <v xml:space="preserve">PDV </v>
          </cell>
          <cell r="H26" t="str">
            <v>CL||2|N||||#|39||-|177|||</v>
          </cell>
          <cell r="J26">
            <v>120523</v>
          </cell>
          <cell r="L26" t="str">
            <v>8.315847</v>
          </cell>
          <cell r="M26" t="str">
            <v>-73.596854</v>
          </cell>
        </row>
        <row r="27">
          <cell r="C27">
            <v>7237</v>
          </cell>
          <cell r="D27" t="str">
            <v>PDV SANTO DOMINGO</v>
          </cell>
          <cell r="E27" t="str">
            <v>S</v>
          </cell>
          <cell r="F27" t="str">
            <v>20001</v>
          </cell>
          <cell r="G27" t="str">
            <v xml:space="preserve">PDV </v>
          </cell>
          <cell r="H27" t="str">
            <v>CR||4|||||#|20|B|-|2|||</v>
          </cell>
          <cell r="J27">
            <v>120523</v>
          </cell>
          <cell r="L27" t="str">
            <v>10.469</v>
          </cell>
          <cell r="M27" t="str">
            <v>-73.2358</v>
          </cell>
        </row>
        <row r="28">
          <cell r="C28">
            <v>42521</v>
          </cell>
          <cell r="D28" t="str">
            <v>PDV LA DECIMA</v>
          </cell>
          <cell r="E28" t="str">
            <v>S</v>
          </cell>
          <cell r="F28" t="str">
            <v>20011</v>
          </cell>
          <cell r="H28" t="str">
            <v>CL||10|||||#|31||-|44|||</v>
          </cell>
          <cell r="J28">
            <v>120523</v>
          </cell>
          <cell r="L28" t="str">
            <v>8.3053707</v>
          </cell>
          <cell r="M28" t="str">
            <v>-73.6054656</v>
          </cell>
        </row>
        <row r="29">
          <cell r="C29">
            <v>41018</v>
          </cell>
          <cell r="D29" t="str">
            <v>CM TIENDA LOS PELAOS</v>
          </cell>
          <cell r="E29" t="str">
            <v>S</v>
          </cell>
          <cell r="F29" t="str">
            <v>20001</v>
          </cell>
          <cell r="G29" t="str">
            <v xml:space="preserve">CM </v>
          </cell>
          <cell r="H29" t="str">
            <v>CL||23|||||#|6|A|-|4|||</v>
          </cell>
          <cell r="J29">
            <v>0</v>
          </cell>
          <cell r="L29" t="str">
            <v>10.4622</v>
          </cell>
          <cell r="M29" t="str">
            <v>-73.2409</v>
          </cell>
        </row>
        <row r="30">
          <cell r="C30">
            <v>42468</v>
          </cell>
          <cell r="D30" t="str">
            <v>AMBULANTE CLARO NUEVO CODAZZI</v>
          </cell>
          <cell r="E30" t="str">
            <v>S</v>
          </cell>
          <cell r="F30" t="str">
            <v>20013</v>
          </cell>
          <cell r="H30" t="str">
            <v>CL||17|||||#|15||-|111|||</v>
          </cell>
          <cell r="J30">
            <v>120523</v>
          </cell>
          <cell r="L30" t="str">
            <v>10.032956</v>
          </cell>
          <cell r="M30" t="str">
            <v>-73.236511</v>
          </cell>
        </row>
        <row r="31">
          <cell r="C31">
            <v>42505</v>
          </cell>
          <cell r="D31" t="str">
            <v>CM RIVERA</v>
          </cell>
          <cell r="E31" t="str">
            <v>S</v>
          </cell>
          <cell r="F31" t="str">
            <v>20787</v>
          </cell>
          <cell r="H31" t="str">
            <v>CR||17|||||#|1|B|-|3|||</v>
          </cell>
          <cell r="J31">
            <v>120523</v>
          </cell>
          <cell r="L31" t="str">
            <v>8.86640597</v>
          </cell>
          <cell r="M31" t="str">
            <v>-73.81708218</v>
          </cell>
        </row>
        <row r="32">
          <cell r="C32">
            <v>42515</v>
          </cell>
          <cell r="D32" t="str">
            <v>PDV YIRETH 1RO DE MAYO</v>
          </cell>
          <cell r="E32" t="str">
            <v>S</v>
          </cell>
          <cell r="F32" t="str">
            <v>20001</v>
          </cell>
          <cell r="H32" t="str">
            <v>CR||19|||||#|24||-|8|||</v>
          </cell>
          <cell r="J32">
            <v>120523</v>
          </cell>
          <cell r="L32" t="str">
            <v>10.458</v>
          </cell>
          <cell r="M32" t="str">
            <v>-73.2517</v>
          </cell>
        </row>
        <row r="33">
          <cell r="C33">
            <v>45421</v>
          </cell>
          <cell r="D33" t="str">
            <v>CM DROG LA ECONOMIA PELAYA</v>
          </cell>
          <cell r="E33" t="str">
            <v>S</v>
          </cell>
          <cell r="F33" t="str">
            <v>20550</v>
          </cell>
          <cell r="H33" t="str">
            <v>CR||8|N||||#|7||-|131|||</v>
          </cell>
          <cell r="J33">
            <v>120523</v>
          </cell>
          <cell r="L33" t="str">
            <v>8.688643151</v>
          </cell>
          <cell r="M33" t="str">
            <v>-73.66323779</v>
          </cell>
        </row>
        <row r="34">
          <cell r="C34">
            <v>7065</v>
          </cell>
          <cell r="D34" t="str">
            <v>AMBULANTE CLARO LA LOMA</v>
          </cell>
          <cell r="E34" t="str">
            <v>S</v>
          </cell>
          <cell r="F34" t="str">
            <v>20250</v>
          </cell>
          <cell r="G34" t="str">
            <v xml:space="preserve">AMB </v>
          </cell>
          <cell r="H34" t="str">
            <v>CR||4|||||#|4||-|91|||</v>
          </cell>
          <cell r="J34">
            <v>120523</v>
          </cell>
          <cell r="L34" t="str">
            <v>9.6204</v>
          </cell>
          <cell r="M34" t="str">
            <v>-73.5934</v>
          </cell>
        </row>
        <row r="35">
          <cell r="C35">
            <v>7066</v>
          </cell>
          <cell r="D35" t="str">
            <v>OFICINA PRINCIPAL LA LOMA</v>
          </cell>
          <cell r="E35" t="str">
            <v>S</v>
          </cell>
          <cell r="F35" t="str">
            <v>20250</v>
          </cell>
          <cell r="G35" t="str">
            <v xml:space="preserve">CDA </v>
          </cell>
          <cell r="H35" t="str">
            <v>CR||4|||||#|4||-|91|||</v>
          </cell>
          <cell r="J35">
            <v>120523</v>
          </cell>
          <cell r="L35" t="str">
            <v>9.6204</v>
          </cell>
          <cell r="M35" t="str">
            <v>-73.5934</v>
          </cell>
        </row>
        <row r="36">
          <cell r="C36">
            <v>7083</v>
          </cell>
          <cell r="D36" t="str">
            <v>AMBULANTE TIGO CHIMICHAGUA</v>
          </cell>
          <cell r="E36" t="str">
            <v>S</v>
          </cell>
          <cell r="F36" t="str">
            <v>20175</v>
          </cell>
          <cell r="G36" t="str">
            <v>AMB</v>
          </cell>
          <cell r="H36" t="str">
            <v>CL||5|||||#|4||-|2|||</v>
          </cell>
          <cell r="J36">
            <v>0</v>
          </cell>
        </row>
        <row r="37">
          <cell r="C37">
            <v>7086</v>
          </cell>
          <cell r="D37" t="str">
            <v>OFICINA PRINCIPAL CHIMICHAGUA</v>
          </cell>
          <cell r="E37" t="str">
            <v>S</v>
          </cell>
          <cell r="F37" t="str">
            <v>20175</v>
          </cell>
          <cell r="G37" t="str">
            <v xml:space="preserve">CDA </v>
          </cell>
          <cell r="H37" t="str">
            <v>CRA 4 # 8-15</v>
          </cell>
          <cell r="J37">
            <v>0</v>
          </cell>
          <cell r="L37" t="str">
            <v>9.151763</v>
          </cell>
          <cell r="M37" t="str">
            <v>-73.484145</v>
          </cell>
        </row>
        <row r="38">
          <cell r="C38">
            <v>7093</v>
          </cell>
          <cell r="D38" t="str">
            <v>AMBULANTE CLARO CHIRIGUANA</v>
          </cell>
          <cell r="E38" t="str">
            <v>S</v>
          </cell>
          <cell r="F38" t="str">
            <v>20178</v>
          </cell>
          <cell r="G38" t="str">
            <v xml:space="preserve">AMB </v>
          </cell>
          <cell r="H38" t="str">
            <v>CL||8|||||#|5|A|-|4|||</v>
          </cell>
          <cell r="J38">
            <v>120523</v>
          </cell>
          <cell r="L38" t="str">
            <v>9.3641</v>
          </cell>
          <cell r="M38" t="str">
            <v>-73.6024</v>
          </cell>
        </row>
        <row r="39">
          <cell r="C39">
            <v>7095</v>
          </cell>
          <cell r="D39" t="str">
            <v>AMBULANTE TIGO LA GLORIA</v>
          </cell>
          <cell r="E39" t="str">
            <v>S</v>
          </cell>
          <cell r="F39" t="str">
            <v>20383</v>
          </cell>
          <cell r="G39" t="str">
            <v>AMB</v>
          </cell>
          <cell r="H39" t="str">
            <v>CR||1|A||||#|1|A|-|9|||</v>
          </cell>
          <cell r="J39">
            <v>0</v>
          </cell>
          <cell r="L39" t="str">
            <v>8.617435</v>
          </cell>
          <cell r="M39" t="str">
            <v>-73.803569</v>
          </cell>
        </row>
        <row r="40">
          <cell r="C40">
            <v>7019</v>
          </cell>
          <cell r="D40" t="str">
            <v>AMBULANTE TIGO SAN ALBERTO</v>
          </cell>
          <cell r="E40" t="str">
            <v>S</v>
          </cell>
          <cell r="F40" t="str">
            <v>20710</v>
          </cell>
          <cell r="G40" t="str">
            <v xml:space="preserve">AMB </v>
          </cell>
          <cell r="H40" t="str">
            <v>CR||3|||||#|4||-|23|||</v>
          </cell>
          <cell r="J40">
            <v>0</v>
          </cell>
        </row>
        <row r="41">
          <cell r="C41">
            <v>7078</v>
          </cell>
          <cell r="D41" t="str">
            <v>OFICINA PRINCIPAL BECERRIL</v>
          </cell>
          <cell r="E41" t="str">
            <v>S</v>
          </cell>
          <cell r="F41" t="str">
            <v>20045</v>
          </cell>
          <cell r="G41" t="str">
            <v xml:space="preserve">CDA </v>
          </cell>
          <cell r="H41" t="str">
            <v>CL||9|||||#|3||-|77|||</v>
          </cell>
          <cell r="J41">
            <v>120523</v>
          </cell>
          <cell r="L41" t="str">
            <v>9.70359</v>
          </cell>
          <cell r="M41" t="str">
            <v>-73.28087</v>
          </cell>
        </row>
        <row r="42">
          <cell r="C42">
            <v>9155</v>
          </cell>
          <cell r="D42" t="str">
            <v xml:space="preserve">PDV 14 CON 7 </v>
          </cell>
          <cell r="E42" t="str">
            <v>S</v>
          </cell>
          <cell r="F42" t="str">
            <v>20011</v>
          </cell>
          <cell r="G42" t="str">
            <v xml:space="preserve">PDV </v>
          </cell>
          <cell r="H42" t="str">
            <v>CL||12|||||#|7||-|60|||</v>
          </cell>
          <cell r="J42">
            <v>120523</v>
          </cell>
          <cell r="L42" t="str">
            <v>8.306913</v>
          </cell>
          <cell r="M42" t="str">
            <v>-73.61998</v>
          </cell>
        </row>
        <row r="43">
          <cell r="C43">
            <v>8964</v>
          </cell>
          <cell r="D43" t="str">
            <v>CM LA MAGDALENA</v>
          </cell>
          <cell r="E43" t="str">
            <v>S</v>
          </cell>
          <cell r="F43" t="str">
            <v>20517</v>
          </cell>
          <cell r="G43" t="str">
            <v>CM</v>
          </cell>
          <cell r="H43" t="str">
            <v>KM 0 - 650 ENTR 01</v>
          </cell>
          <cell r="J43">
            <v>0</v>
          </cell>
        </row>
        <row r="44">
          <cell r="C44">
            <v>8460</v>
          </cell>
          <cell r="D44" t="str">
            <v>CM SAN VICENTE</v>
          </cell>
          <cell r="E44" t="str">
            <v>S</v>
          </cell>
          <cell r="F44" t="str">
            <v>20228</v>
          </cell>
          <cell r="G44" t="str">
            <v>CM</v>
          </cell>
          <cell r="H44" t="str">
            <v>CL 10   5 - 14</v>
          </cell>
          <cell r="J44">
            <v>0</v>
          </cell>
        </row>
        <row r="45">
          <cell r="C45">
            <v>8523</v>
          </cell>
          <cell r="D45" t="str">
            <v xml:space="preserve">CM BARRIO GAITAN </v>
          </cell>
          <cell r="E45" t="str">
            <v>S</v>
          </cell>
          <cell r="F45" t="str">
            <v>20550</v>
          </cell>
          <cell r="G45" t="str">
            <v>CM</v>
          </cell>
          <cell r="H45" t="str">
            <v>CL 11  12 - 30</v>
          </cell>
          <cell r="J45">
            <v>0</v>
          </cell>
        </row>
        <row r="46">
          <cell r="C46">
            <v>8567</v>
          </cell>
          <cell r="D46" t="str">
            <v xml:space="preserve">CM LOS OBREROS </v>
          </cell>
          <cell r="E46" t="str">
            <v>S</v>
          </cell>
          <cell r="F46" t="str">
            <v>20001</v>
          </cell>
          <cell r="G46" t="str">
            <v>CM</v>
          </cell>
          <cell r="H46" t="str">
            <v>CR 13A  12 - 51</v>
          </cell>
          <cell r="J46">
            <v>0</v>
          </cell>
        </row>
        <row r="47">
          <cell r="C47">
            <v>9225</v>
          </cell>
          <cell r="D47" t="str">
            <v>AMBULANTE CLARO SAN SANTONIO</v>
          </cell>
          <cell r="E47" t="str">
            <v>S</v>
          </cell>
          <cell r="F47" t="str">
            <v>20011</v>
          </cell>
          <cell r="G47" t="str">
            <v xml:space="preserve">AMB </v>
          </cell>
          <cell r="H47" t="str">
            <v>CR||16|||||#|5||-|20|||</v>
          </cell>
          <cell r="J47">
            <v>120523</v>
          </cell>
          <cell r="L47" t="str">
            <v>8.30923</v>
          </cell>
          <cell r="M47" t="str">
            <v>-73.618025</v>
          </cell>
        </row>
        <row r="48">
          <cell r="C48">
            <v>7162</v>
          </cell>
          <cell r="D48" t="str">
            <v>CM EL ZAFIRO</v>
          </cell>
          <cell r="E48" t="str">
            <v>S</v>
          </cell>
          <cell r="F48" t="str">
            <v>20001</v>
          </cell>
          <cell r="G48" t="str">
            <v>CM</v>
          </cell>
          <cell r="H48" t="str">
            <v>DG||21|||||#|24||-|37|||</v>
          </cell>
          <cell r="J48">
            <v>0</v>
          </cell>
        </row>
        <row r="49">
          <cell r="C49">
            <v>8359</v>
          </cell>
          <cell r="D49" t="str">
            <v>PDV LA NEVADA 3</v>
          </cell>
          <cell r="E49" t="str">
            <v>S</v>
          </cell>
          <cell r="F49" t="str">
            <v>20001</v>
          </cell>
          <cell r="G49" t="str">
            <v xml:space="preserve">PDV </v>
          </cell>
          <cell r="H49" t="str">
            <v>CL||6|||||#|40||-|33|||</v>
          </cell>
          <cell r="J49">
            <v>120523</v>
          </cell>
          <cell r="L49" t="str">
            <v>10.475715</v>
          </cell>
          <cell r="M49" t="str">
            <v>-73.287138</v>
          </cell>
        </row>
        <row r="50">
          <cell r="C50">
            <v>7160</v>
          </cell>
          <cell r="D50" t="str">
            <v xml:space="preserve">PDV 1° DE MAYO </v>
          </cell>
          <cell r="E50" t="str">
            <v>S</v>
          </cell>
          <cell r="F50" t="str">
            <v>20001</v>
          </cell>
          <cell r="G50" t="str">
            <v xml:space="preserve">PDV </v>
          </cell>
          <cell r="H50" t="str">
            <v>CL||32|||||#|31||-|58|||</v>
          </cell>
          <cell r="J50">
            <v>120523</v>
          </cell>
          <cell r="L50" t="str">
            <v>10.4516</v>
          </cell>
          <cell r="M50" t="str">
            <v>-73.253</v>
          </cell>
        </row>
        <row r="51">
          <cell r="C51">
            <v>7200</v>
          </cell>
          <cell r="D51" t="str">
            <v>PDV LA REBAJA</v>
          </cell>
          <cell r="E51" t="str">
            <v>S</v>
          </cell>
          <cell r="F51" t="str">
            <v>20011</v>
          </cell>
          <cell r="G51" t="str">
            <v xml:space="preserve">PDV </v>
          </cell>
          <cell r="H51" t="str">
            <v>CL||5|||||#|20||-|15|||</v>
          </cell>
          <cell r="J51">
            <v>120523</v>
          </cell>
          <cell r="L51" t="str">
            <v>8.30987</v>
          </cell>
          <cell r="M51" t="str">
            <v>-73.61431</v>
          </cell>
        </row>
        <row r="52">
          <cell r="C52">
            <v>42520</v>
          </cell>
          <cell r="D52" t="str">
            <v>PDV LA CUARENTA</v>
          </cell>
          <cell r="E52" t="str">
            <v>S</v>
          </cell>
          <cell r="F52" t="str">
            <v>20011</v>
          </cell>
          <cell r="H52" t="str">
            <v>CL||10|||||#|40||-|42|||</v>
          </cell>
          <cell r="J52">
            <v>120523</v>
          </cell>
          <cell r="L52" t="str">
            <v>8.320614</v>
          </cell>
          <cell r="M52" t="str">
            <v>-73.59554</v>
          </cell>
        </row>
        <row r="53">
          <cell r="C53">
            <v>40472</v>
          </cell>
          <cell r="D53" t="str">
            <v>CM DONDE LA SEÑO MILVA</v>
          </cell>
          <cell r="E53" t="str">
            <v>S</v>
          </cell>
          <cell r="F53" t="str">
            <v>20011</v>
          </cell>
          <cell r="G53" t="str">
            <v xml:space="preserve">CM </v>
          </cell>
          <cell r="H53" t="str">
            <v>CR||19|||||#|13||-|26|||</v>
          </cell>
          <cell r="J53">
            <v>120523</v>
          </cell>
          <cell r="L53" t="str">
            <v>8.300704</v>
          </cell>
          <cell r="M53" t="str">
            <v>-73.614471</v>
          </cell>
        </row>
        <row r="54">
          <cell r="C54">
            <v>42564</v>
          </cell>
          <cell r="D54" t="str">
            <v>CM LOMA DE CORREDOR</v>
          </cell>
          <cell r="E54" t="str">
            <v>S</v>
          </cell>
          <cell r="F54" t="str">
            <v>20011</v>
          </cell>
          <cell r="H54" t="str">
            <v xml:space="preserve">OT||||||||||||||KDX 28 3 </v>
          </cell>
          <cell r="J54">
            <v>120523</v>
          </cell>
          <cell r="L54" t="str">
            <v>8.131557</v>
          </cell>
          <cell r="M54" t="str">
            <v>-73.76856</v>
          </cell>
        </row>
        <row r="55">
          <cell r="C55">
            <v>41137</v>
          </cell>
          <cell r="D55" t="str">
            <v>CM LA GRAN PARADA</v>
          </cell>
          <cell r="E55" t="str">
            <v>S</v>
          </cell>
          <cell r="F55" t="str">
            <v>20013</v>
          </cell>
          <cell r="H55" t="str">
            <v>CR||16|||||#|27||-|84|||</v>
          </cell>
          <cell r="J55">
            <v>120523</v>
          </cell>
          <cell r="L55" t="str">
            <v>10.04394</v>
          </cell>
          <cell r="M55" t="str">
            <v>-73.23861</v>
          </cell>
        </row>
        <row r="56">
          <cell r="C56">
            <v>42487</v>
          </cell>
          <cell r="D56" t="str">
            <v>CM FERREMOTO LA 11</v>
          </cell>
          <cell r="E56" t="str">
            <v>S</v>
          </cell>
          <cell r="F56" t="str">
            <v>20175</v>
          </cell>
          <cell r="H56" t="str">
            <v>CL||11|||||#|7||-|56|||</v>
          </cell>
          <cell r="J56">
            <v>120523</v>
          </cell>
          <cell r="L56" t="str">
            <v>9.258371</v>
          </cell>
          <cell r="M56" t="str">
            <v>-73.812855</v>
          </cell>
        </row>
        <row r="57">
          <cell r="C57">
            <v>42561</v>
          </cell>
          <cell r="D57" t="str">
            <v>CM DOÑA CLARA</v>
          </cell>
          <cell r="E57" t="str">
            <v>S</v>
          </cell>
          <cell r="F57" t="str">
            <v>20001</v>
          </cell>
          <cell r="H57" t="str">
            <v>OT||||||||||||||MZ 6 CA 21 OÑA CLARA</v>
          </cell>
          <cell r="J57">
            <v>120523</v>
          </cell>
          <cell r="L57" t="str">
            <v>10.45378</v>
          </cell>
          <cell r="M57" t="str">
            <v>-73.22936</v>
          </cell>
        </row>
        <row r="58">
          <cell r="C58">
            <v>42511</v>
          </cell>
          <cell r="D58" t="str">
            <v>PDV COMFACESAR1</v>
          </cell>
          <cell r="E58" t="str">
            <v>S</v>
          </cell>
          <cell r="F58" t="str">
            <v>20001</v>
          </cell>
          <cell r="H58" t="str">
            <v>OT||||||||||||||MZ E CA16 B COMFACESAR</v>
          </cell>
          <cell r="J58">
            <v>120523</v>
          </cell>
          <cell r="L58" t="str">
            <v>10.4535</v>
          </cell>
          <cell r="M58" t="str">
            <v>-73.2814</v>
          </cell>
        </row>
        <row r="59">
          <cell r="C59">
            <v>45314</v>
          </cell>
          <cell r="D59" t="str">
            <v>CM FATIMA 2</v>
          </cell>
          <cell r="E59" t="str">
            <v>S</v>
          </cell>
          <cell r="F59" t="str">
            <v>20295</v>
          </cell>
          <cell r="H59" t="str">
            <v>CL||4|||||#|4||-|104|||</v>
          </cell>
          <cell r="J59">
            <v>120523</v>
          </cell>
          <cell r="L59" t="str">
            <v>8.31921</v>
          </cell>
          <cell r="M59" t="str">
            <v>-73.742451</v>
          </cell>
        </row>
        <row r="60">
          <cell r="C60">
            <v>7004</v>
          </cell>
          <cell r="D60" t="str">
            <v>AMBULANTE MOVISTAR MANAURE</v>
          </cell>
          <cell r="E60" t="str">
            <v>S</v>
          </cell>
          <cell r="F60" t="str">
            <v>20443</v>
          </cell>
          <cell r="G60" t="str">
            <v xml:space="preserve">AMB </v>
          </cell>
          <cell r="H60" t="str">
            <v>CL||3|||||#|6|A|-|22|||</v>
          </cell>
          <cell r="J60">
            <v>0</v>
          </cell>
          <cell r="L60" t="str">
            <v>10.39131166</v>
          </cell>
          <cell r="M60" t="str">
            <v>-73.02780333</v>
          </cell>
        </row>
        <row r="61">
          <cell r="C61">
            <v>7056</v>
          </cell>
          <cell r="D61" t="str">
            <v>AMBULANTE MOVISTAR CODAZZI</v>
          </cell>
          <cell r="E61" t="str">
            <v>S</v>
          </cell>
          <cell r="F61" t="str">
            <v>20013</v>
          </cell>
          <cell r="G61" t="str">
            <v xml:space="preserve">AMB </v>
          </cell>
          <cell r="H61" t="str">
            <v>CL||17|||||#|15||-|111|||</v>
          </cell>
          <cell r="J61">
            <v>120523</v>
          </cell>
          <cell r="L61" t="str">
            <v>10.03699</v>
          </cell>
          <cell r="M61" t="str">
            <v>-73.23657</v>
          </cell>
        </row>
        <row r="62">
          <cell r="C62">
            <v>8352</v>
          </cell>
          <cell r="D62" t="str">
            <v xml:space="preserve">CM ALTO DEL PROGRESO </v>
          </cell>
          <cell r="E62" t="str">
            <v>S</v>
          </cell>
          <cell r="F62" t="str">
            <v>20710</v>
          </cell>
          <cell r="G62" t="str">
            <v xml:space="preserve">CM </v>
          </cell>
          <cell r="H62" t="str">
            <v>OT||||||||||||||TRANV 25 # 18A - 55</v>
          </cell>
          <cell r="J62">
            <v>120523</v>
          </cell>
          <cell r="L62" t="str">
            <v>7.762858</v>
          </cell>
          <cell r="M62" t="str">
            <v>-73.391216</v>
          </cell>
        </row>
        <row r="63">
          <cell r="C63">
            <v>7244</v>
          </cell>
          <cell r="D63" t="str">
            <v>CM 12 DE OCTUBRE</v>
          </cell>
          <cell r="E63" t="str">
            <v>S</v>
          </cell>
          <cell r="F63" t="str">
            <v>20001</v>
          </cell>
          <cell r="G63" t="str">
            <v>CM</v>
          </cell>
          <cell r="H63" t="str">
            <v>CL||23|||||#|15||-|42|||</v>
          </cell>
          <cell r="J63">
            <v>0</v>
          </cell>
        </row>
        <row r="64">
          <cell r="C64">
            <v>8149</v>
          </cell>
          <cell r="D64" t="str">
            <v>PDV LOCAL LA CUARTA</v>
          </cell>
          <cell r="E64" t="str">
            <v>S</v>
          </cell>
          <cell r="F64" t="str">
            <v>20011</v>
          </cell>
          <cell r="G64" t="str">
            <v xml:space="preserve">PDV </v>
          </cell>
          <cell r="H64" t="str">
            <v>CR||40|||||#|7||-|44|||</v>
          </cell>
          <cell r="J64">
            <v>120523</v>
          </cell>
          <cell r="L64" t="str">
            <v>8.310962</v>
          </cell>
          <cell r="M64" t="str">
            <v>-73.6100061</v>
          </cell>
        </row>
        <row r="65">
          <cell r="C65">
            <v>8314</v>
          </cell>
          <cell r="D65" t="str">
            <v>MOVILES AMBULANTE CLARO</v>
          </cell>
          <cell r="E65" t="str">
            <v>S</v>
          </cell>
          <cell r="F65" t="str">
            <v>20013</v>
          </cell>
          <cell r="G65" t="str">
            <v xml:space="preserve">AMB </v>
          </cell>
          <cell r="H65" t="str">
            <v>CL||17|||||#|15||-|111|||</v>
          </cell>
          <cell r="J65">
            <v>120523</v>
          </cell>
          <cell r="L65" t="str">
            <v>10.03699</v>
          </cell>
          <cell r="M65" t="str">
            <v>-73.23657</v>
          </cell>
        </row>
        <row r="66">
          <cell r="C66">
            <v>7243</v>
          </cell>
          <cell r="D66" t="str">
            <v>CM SAN MARTIN</v>
          </cell>
          <cell r="E66" t="str">
            <v>S</v>
          </cell>
          <cell r="F66" t="str">
            <v>20001</v>
          </cell>
          <cell r="G66" t="str">
            <v xml:space="preserve">CM </v>
          </cell>
          <cell r="H66" t="str">
            <v>CR||21|||||#|33||-|2|||</v>
          </cell>
          <cell r="J66">
            <v>0</v>
          </cell>
          <cell r="L66" t="str">
            <v>10.4518</v>
          </cell>
          <cell r="M66" t="str">
            <v>-73.2508</v>
          </cell>
        </row>
        <row r="67">
          <cell r="C67">
            <v>8188</v>
          </cell>
          <cell r="D67" t="str">
            <v>PDV SAN FRANCISCO DE PAULA</v>
          </cell>
          <cell r="E67" t="str">
            <v>S</v>
          </cell>
          <cell r="F67" t="str">
            <v>20001</v>
          </cell>
          <cell r="G67" t="str">
            <v xml:space="preserve">PDV </v>
          </cell>
          <cell r="H67" t="str">
            <v>CR||3|||||#|3||-|13|||</v>
          </cell>
          <cell r="J67">
            <v>120523</v>
          </cell>
          <cell r="L67" t="str">
            <v>10.45235</v>
          </cell>
          <cell r="M67" t="str">
            <v>-73.2719306</v>
          </cell>
        </row>
        <row r="68">
          <cell r="C68">
            <v>8180</v>
          </cell>
          <cell r="D68" t="str">
            <v>CM EL CENTRO</v>
          </cell>
          <cell r="E68" t="str">
            <v>S</v>
          </cell>
          <cell r="F68" t="str">
            <v>20400</v>
          </cell>
          <cell r="G68" t="str">
            <v>CM</v>
          </cell>
          <cell r="H68" t="str">
            <v>CL 7 N 6-160</v>
          </cell>
          <cell r="J68">
            <v>0</v>
          </cell>
        </row>
        <row r="69">
          <cell r="C69">
            <v>9277</v>
          </cell>
          <cell r="D69" t="str">
            <v xml:space="preserve">PDV GALERIA </v>
          </cell>
          <cell r="E69" t="str">
            <v>S</v>
          </cell>
          <cell r="F69" t="str">
            <v>20001</v>
          </cell>
          <cell r="G69" t="str">
            <v xml:space="preserve">PDV </v>
          </cell>
          <cell r="H69" t="str">
            <v>CR||7|A||||#|18|A|-|92|||</v>
          </cell>
          <cell r="J69">
            <v>120523</v>
          </cell>
          <cell r="L69" t="str">
            <v>10.473</v>
          </cell>
          <cell r="M69" t="str">
            <v>-73.2433</v>
          </cell>
        </row>
        <row r="70">
          <cell r="C70">
            <v>7123</v>
          </cell>
          <cell r="D70" t="str">
            <v xml:space="preserve">GALERIA EXTERIOR </v>
          </cell>
          <cell r="E70" t="str">
            <v>S</v>
          </cell>
          <cell r="F70" t="str">
            <v>20001</v>
          </cell>
          <cell r="G70" t="str">
            <v xml:space="preserve">CM </v>
          </cell>
          <cell r="H70" t="str">
            <v>CR||12|||||#|16||-|42|||</v>
          </cell>
          <cell r="J70">
            <v>120523</v>
          </cell>
          <cell r="L70" t="str">
            <v>10.473237</v>
          </cell>
          <cell r="M70" t="str">
            <v>-73.242863</v>
          </cell>
        </row>
        <row r="71">
          <cell r="C71">
            <v>9099</v>
          </cell>
          <cell r="D71" t="str">
            <v>PDV VILLA MIRIAN</v>
          </cell>
          <cell r="E71" t="str">
            <v>S</v>
          </cell>
          <cell r="F71" t="str">
            <v>20001</v>
          </cell>
          <cell r="G71" t="str">
            <v xml:space="preserve">PDV </v>
          </cell>
          <cell r="H71" t="str">
            <v>CR||36||BIS|||#|16 C BIS||-|6|||</v>
          </cell>
          <cell r="J71">
            <v>120523</v>
          </cell>
          <cell r="L71" t="str">
            <v>10.451929</v>
          </cell>
          <cell r="M71" t="str">
            <v>-73.268378</v>
          </cell>
        </row>
        <row r="72">
          <cell r="C72">
            <v>8061</v>
          </cell>
          <cell r="D72" t="str">
            <v>CM 1 DE DICIEMBRE</v>
          </cell>
          <cell r="E72" t="str">
            <v>S</v>
          </cell>
          <cell r="F72" t="str">
            <v>20787</v>
          </cell>
          <cell r="G72" t="str">
            <v>CM</v>
          </cell>
          <cell r="H72" t="str">
            <v>CLL 11 N 6-80</v>
          </cell>
          <cell r="J72">
            <v>0</v>
          </cell>
        </row>
        <row r="73">
          <cell r="C73">
            <v>8057</v>
          </cell>
          <cell r="D73" t="str">
            <v>CM GRANERO EL TURPIAL</v>
          </cell>
          <cell r="E73" t="str">
            <v>S</v>
          </cell>
          <cell r="F73" t="str">
            <v>20011</v>
          </cell>
          <cell r="G73" t="str">
            <v>CM</v>
          </cell>
          <cell r="H73" t="str">
            <v>CALLE 10 NORTE 39B-80</v>
          </cell>
          <cell r="J73">
            <v>0</v>
          </cell>
        </row>
        <row r="74">
          <cell r="C74">
            <v>9209</v>
          </cell>
          <cell r="D74" t="str">
            <v>AMBULANTE CLARO SAN EDUARDO</v>
          </cell>
          <cell r="E74" t="str">
            <v>S</v>
          </cell>
          <cell r="F74" t="str">
            <v>20011</v>
          </cell>
          <cell r="G74" t="str">
            <v xml:space="preserve">AMB </v>
          </cell>
          <cell r="H74" t="str">
            <v>CL||10|||||#|33||-|18|||</v>
          </cell>
          <cell r="J74">
            <v>120523</v>
          </cell>
          <cell r="L74" t="str">
            <v>8.318554</v>
          </cell>
          <cell r="M74" t="str">
            <v>-73.6016386</v>
          </cell>
        </row>
        <row r="75">
          <cell r="C75">
            <v>9215</v>
          </cell>
          <cell r="D75" t="str">
            <v>AMBULANTE CLARO SAN ROQUE</v>
          </cell>
          <cell r="E75" t="str">
            <v>S</v>
          </cell>
          <cell r="F75" t="str">
            <v>20011</v>
          </cell>
          <cell r="G75" t="str">
            <v xml:space="preserve">AMB </v>
          </cell>
          <cell r="H75" t="str">
            <v>CL||5|||||#|10||-|56|||</v>
          </cell>
          <cell r="J75">
            <v>120523</v>
          </cell>
          <cell r="L75" t="str">
            <v>8.309743</v>
          </cell>
          <cell r="M75" t="str">
            <v>-73.623722</v>
          </cell>
        </row>
        <row r="76">
          <cell r="C76">
            <v>9216</v>
          </cell>
          <cell r="D76" t="str">
            <v>AMBULANTE MOVISTAR SAN ROQUE</v>
          </cell>
          <cell r="E76" t="str">
            <v>S</v>
          </cell>
          <cell r="F76" t="str">
            <v>20011</v>
          </cell>
          <cell r="G76" t="str">
            <v xml:space="preserve">AMB </v>
          </cell>
          <cell r="H76" t="str">
            <v>CL||5|||||#|10||-|56|||</v>
          </cell>
          <cell r="J76">
            <v>120523</v>
          </cell>
          <cell r="L76" t="str">
            <v>8.309743</v>
          </cell>
          <cell r="M76" t="str">
            <v>-73.623722</v>
          </cell>
        </row>
        <row r="77">
          <cell r="C77">
            <v>8116</v>
          </cell>
          <cell r="D77" t="str">
            <v>CM DONDE LULE</v>
          </cell>
          <cell r="E77" t="str">
            <v>S</v>
          </cell>
          <cell r="F77" t="str">
            <v>20750</v>
          </cell>
          <cell r="G77" t="str">
            <v>CM</v>
          </cell>
          <cell r="H77" t="str">
            <v xml:space="preserve">CL 4 N 7-03 </v>
          </cell>
          <cell r="J77">
            <v>0</v>
          </cell>
        </row>
        <row r="78">
          <cell r="C78">
            <v>8822</v>
          </cell>
          <cell r="D78" t="str">
            <v>CM BERACO</v>
          </cell>
          <cell r="E78" t="str">
            <v>S</v>
          </cell>
          <cell r="F78" t="str">
            <v>20001</v>
          </cell>
          <cell r="G78" t="str">
            <v xml:space="preserve">CM </v>
          </cell>
          <cell r="H78" t="str">
            <v>CL||21|||||#|18|C|-|2|||</v>
          </cell>
          <cell r="J78">
            <v>120523</v>
          </cell>
          <cell r="L78" t="str">
            <v>10.47651</v>
          </cell>
          <cell r="M78" t="str">
            <v>-73.253058</v>
          </cell>
        </row>
        <row r="79">
          <cell r="C79">
            <v>8118</v>
          </cell>
          <cell r="D79" t="str">
            <v>CM EL CAMPESINO</v>
          </cell>
          <cell r="E79" t="str">
            <v>S</v>
          </cell>
          <cell r="F79" t="str">
            <v>20045</v>
          </cell>
          <cell r="G79" t="str">
            <v>CM</v>
          </cell>
          <cell r="H79" t="str">
            <v>CR 5 CL 6-49</v>
          </cell>
          <cell r="J79">
            <v>0</v>
          </cell>
        </row>
        <row r="80">
          <cell r="C80">
            <v>8570</v>
          </cell>
          <cell r="D80" t="str">
            <v>CM ANTEQUERA 2</v>
          </cell>
          <cell r="E80" t="str">
            <v>S</v>
          </cell>
          <cell r="F80" t="str">
            <v>20787</v>
          </cell>
          <cell r="G80" t="str">
            <v>CM</v>
          </cell>
          <cell r="H80" t="str">
            <v>CL 2  1 - 33</v>
          </cell>
          <cell r="J80">
            <v>0</v>
          </cell>
        </row>
        <row r="81">
          <cell r="C81">
            <v>8174</v>
          </cell>
          <cell r="D81" t="str">
            <v>CM 5 DE NOVIEMBRE</v>
          </cell>
          <cell r="E81" t="str">
            <v>S</v>
          </cell>
          <cell r="F81" t="str">
            <v>20001</v>
          </cell>
          <cell r="G81" t="str">
            <v>CM</v>
          </cell>
          <cell r="H81" t="str">
            <v>CALLE 25 A N 6-57 5 DE NOVIEMBRE</v>
          </cell>
          <cell r="J81">
            <v>0</v>
          </cell>
        </row>
        <row r="82">
          <cell r="C82">
            <v>8200</v>
          </cell>
          <cell r="D82" t="str">
            <v>CM TIENDA PUNTO AZUL</v>
          </cell>
          <cell r="E82" t="str">
            <v>S</v>
          </cell>
          <cell r="F82" t="str">
            <v>20001</v>
          </cell>
          <cell r="G82" t="str">
            <v>CM</v>
          </cell>
          <cell r="H82" t="str">
            <v>CL 7A 19B-204</v>
          </cell>
          <cell r="J82">
            <v>0</v>
          </cell>
        </row>
        <row r="83">
          <cell r="C83">
            <v>8173</v>
          </cell>
          <cell r="D83" t="str">
            <v xml:space="preserve">CM URB NANDO MARIN </v>
          </cell>
          <cell r="E83" t="str">
            <v>S</v>
          </cell>
          <cell r="F83" t="str">
            <v>20001</v>
          </cell>
          <cell r="G83" t="str">
            <v>CM</v>
          </cell>
          <cell r="H83" t="str">
            <v>MZ 15 TORRE O APTO 102</v>
          </cell>
          <cell r="J83">
            <v>0</v>
          </cell>
        </row>
        <row r="84">
          <cell r="C84">
            <v>8201</v>
          </cell>
          <cell r="D84" t="str">
            <v>PANADERIA LA DULCE TENTACION</v>
          </cell>
          <cell r="E84" t="str">
            <v>S</v>
          </cell>
          <cell r="F84" t="str">
            <v>20001</v>
          </cell>
          <cell r="G84" t="str">
            <v>PDV</v>
          </cell>
          <cell r="H84" t="str">
            <v>TRANSV 23 18B-02</v>
          </cell>
          <cell r="J84">
            <v>0</v>
          </cell>
        </row>
        <row r="85">
          <cell r="C85">
            <v>8224</v>
          </cell>
          <cell r="D85" t="str">
            <v>CM EL MERCADO</v>
          </cell>
          <cell r="E85" t="str">
            <v>S</v>
          </cell>
          <cell r="F85" t="str">
            <v>20011</v>
          </cell>
          <cell r="G85" t="str">
            <v>CM</v>
          </cell>
          <cell r="H85" t="str">
            <v>CLL 2 30-10 MARIA EUGENIA</v>
          </cell>
          <cell r="J85">
            <v>0</v>
          </cell>
        </row>
        <row r="86">
          <cell r="C86">
            <v>8253</v>
          </cell>
          <cell r="D86" t="str">
            <v xml:space="preserve">CM BARBERIA URBANA NEVADA </v>
          </cell>
          <cell r="E86" t="str">
            <v>S</v>
          </cell>
          <cell r="F86" t="str">
            <v>20001</v>
          </cell>
          <cell r="G86" t="str">
            <v>CM</v>
          </cell>
          <cell r="H86" t="str">
            <v>CR 41 N 5G - 4 APT 1</v>
          </cell>
          <cell r="J86">
            <v>0</v>
          </cell>
        </row>
        <row r="87">
          <cell r="C87">
            <v>8269</v>
          </cell>
          <cell r="D87" t="str">
            <v>CM INTERNET SERRANO</v>
          </cell>
          <cell r="E87" t="str">
            <v>S</v>
          </cell>
          <cell r="F87" t="str">
            <v>20011</v>
          </cell>
          <cell r="G87" t="str">
            <v>CM</v>
          </cell>
          <cell r="H87" t="str">
            <v>CRA 6 N 7 - 150</v>
          </cell>
          <cell r="J87">
            <v>0</v>
          </cell>
        </row>
        <row r="88">
          <cell r="C88">
            <v>7155</v>
          </cell>
          <cell r="D88" t="str">
            <v>TESORERIA PRINCIPAL VALLEDUPAR</v>
          </cell>
          <cell r="E88" t="str">
            <v>S</v>
          </cell>
          <cell r="F88" t="str">
            <v>20001</v>
          </cell>
          <cell r="J88">
            <v>0</v>
          </cell>
        </row>
        <row r="89">
          <cell r="C89">
            <v>8227</v>
          </cell>
          <cell r="D89" t="str">
            <v>CM LA POLICIA</v>
          </cell>
          <cell r="E89" t="str">
            <v>S</v>
          </cell>
          <cell r="F89" t="str">
            <v>20045</v>
          </cell>
          <cell r="G89" t="str">
            <v>CM</v>
          </cell>
          <cell r="H89" t="str">
            <v>CRA 5 12-29 CENTRO</v>
          </cell>
          <cell r="J89">
            <v>0</v>
          </cell>
        </row>
        <row r="90">
          <cell r="C90">
            <v>8070</v>
          </cell>
          <cell r="D90" t="str">
            <v>CM FUENTES DE AGUA VIVA</v>
          </cell>
          <cell r="E90" t="str">
            <v>S</v>
          </cell>
          <cell r="F90" t="str">
            <v>20060</v>
          </cell>
          <cell r="G90" t="str">
            <v>CM</v>
          </cell>
          <cell r="H90" t="str">
            <v>CALLE 16 13-75</v>
          </cell>
          <cell r="J90">
            <v>0</v>
          </cell>
        </row>
        <row r="91">
          <cell r="C91">
            <v>8415</v>
          </cell>
          <cell r="D91" t="str">
            <v xml:space="preserve">CM NUEVA PARADA </v>
          </cell>
          <cell r="E91" t="str">
            <v>S</v>
          </cell>
          <cell r="F91" t="str">
            <v>20001</v>
          </cell>
          <cell r="G91" t="str">
            <v xml:space="preserve">CM </v>
          </cell>
          <cell r="H91" t="str">
            <v>CL||44|||||#|18||-|155|||</v>
          </cell>
          <cell r="J91">
            <v>120523</v>
          </cell>
          <cell r="L91" t="str">
            <v>10.4474</v>
          </cell>
          <cell r="M91" t="str">
            <v>-73.2382</v>
          </cell>
        </row>
        <row r="92">
          <cell r="C92">
            <v>8069</v>
          </cell>
          <cell r="D92" t="str">
            <v>CM COMUNIDAD NUEVA ESPERANZA</v>
          </cell>
          <cell r="E92" t="str">
            <v>S</v>
          </cell>
          <cell r="F92" t="str">
            <v>20060</v>
          </cell>
          <cell r="G92" t="str">
            <v>CM</v>
          </cell>
          <cell r="H92" t="str">
            <v>MANZANA 17-18 CASA 27</v>
          </cell>
          <cell r="J92">
            <v>0</v>
          </cell>
        </row>
        <row r="93">
          <cell r="C93">
            <v>8380</v>
          </cell>
          <cell r="D93" t="str">
            <v xml:space="preserve">CM DROGUERIA 5 NOVIEMBRE </v>
          </cell>
          <cell r="E93" t="str">
            <v>S</v>
          </cell>
          <cell r="F93" t="str">
            <v>20001</v>
          </cell>
          <cell r="G93" t="str">
            <v>CM</v>
          </cell>
          <cell r="H93" t="str">
            <v>CL 25 CR 6A - 58</v>
          </cell>
          <cell r="J93">
            <v>0</v>
          </cell>
        </row>
        <row r="94">
          <cell r="C94">
            <v>8422</v>
          </cell>
          <cell r="D94" t="str">
            <v xml:space="preserve">CM YURIS MARCELA </v>
          </cell>
          <cell r="E94" t="str">
            <v>S</v>
          </cell>
          <cell r="F94" t="str">
            <v>20001</v>
          </cell>
          <cell r="G94" t="str">
            <v>CM</v>
          </cell>
          <cell r="H94" t="str">
            <v>CR 16   30A - 133</v>
          </cell>
          <cell r="J94">
            <v>0</v>
          </cell>
        </row>
        <row r="95">
          <cell r="C95">
            <v>8503</v>
          </cell>
          <cell r="D95" t="str">
            <v>CM MARTINEZ MONTERO</v>
          </cell>
          <cell r="E95" t="str">
            <v>S</v>
          </cell>
          <cell r="F95" t="str">
            <v>20175</v>
          </cell>
          <cell r="G95" t="str">
            <v xml:space="preserve">CM </v>
          </cell>
          <cell r="H95" t="str">
            <v>CL||5|||||#|2||-|146|||</v>
          </cell>
          <cell r="J95">
            <v>120523</v>
          </cell>
          <cell r="L95" t="str">
            <v>9.208154</v>
          </cell>
          <cell r="M95" t="str">
            <v>-73.879633</v>
          </cell>
        </row>
        <row r="96">
          <cell r="C96">
            <v>8504</v>
          </cell>
          <cell r="D96" t="str">
            <v xml:space="preserve">CM TIENDA PAGUEMENOS </v>
          </cell>
          <cell r="E96" t="str">
            <v>S</v>
          </cell>
          <cell r="F96" t="str">
            <v>20060</v>
          </cell>
          <cell r="G96" t="str">
            <v>CM</v>
          </cell>
          <cell r="H96" t="str">
            <v>CL 2  4-25</v>
          </cell>
          <cell r="J96">
            <v>0</v>
          </cell>
        </row>
        <row r="97">
          <cell r="C97">
            <v>8505</v>
          </cell>
          <cell r="D97" t="str">
            <v>CM BARRIO PALMIRA</v>
          </cell>
          <cell r="E97" t="str">
            <v>S</v>
          </cell>
          <cell r="F97" t="str">
            <v>20787</v>
          </cell>
          <cell r="G97" t="str">
            <v xml:space="preserve">CM </v>
          </cell>
          <cell r="H97" t="str">
            <v>CL||5|||||#|5||-|73|||</v>
          </cell>
          <cell r="J97">
            <v>120523</v>
          </cell>
          <cell r="L97" t="str">
            <v>8.8584651</v>
          </cell>
          <cell r="M97" t="str">
            <v>-73.81113465</v>
          </cell>
        </row>
        <row r="98">
          <cell r="C98">
            <v>8372</v>
          </cell>
          <cell r="D98" t="str">
            <v>PDV ALTOS DE LA MINA</v>
          </cell>
          <cell r="E98" t="str">
            <v>S</v>
          </cell>
          <cell r="F98" t="str">
            <v>20400</v>
          </cell>
          <cell r="G98" t="str">
            <v>PDV</v>
          </cell>
          <cell r="H98" t="str">
            <v>MZ 5  CA 144  - 1</v>
          </cell>
          <cell r="J98">
            <v>0</v>
          </cell>
        </row>
        <row r="99">
          <cell r="C99">
            <v>8332</v>
          </cell>
          <cell r="D99" t="str">
            <v>AMBULANTE MOVISTAR LA PAZ</v>
          </cell>
          <cell r="E99" t="str">
            <v>S</v>
          </cell>
          <cell r="F99" t="str">
            <v>20621</v>
          </cell>
          <cell r="G99" t="str">
            <v xml:space="preserve">AMB </v>
          </cell>
          <cell r="H99" t="str">
            <v>CL||6|||||#|6||-|34|||</v>
          </cell>
          <cell r="J99">
            <v>120523</v>
          </cell>
          <cell r="L99" t="str">
            <v>10.386577</v>
          </cell>
          <cell r="M99" t="str">
            <v>-73.170702</v>
          </cell>
        </row>
        <row r="100">
          <cell r="C100">
            <v>8409</v>
          </cell>
          <cell r="D100" t="str">
            <v>CM VARIEDADS MILEIDYS</v>
          </cell>
          <cell r="E100" t="str">
            <v>S</v>
          </cell>
          <cell r="F100" t="str">
            <v>20001</v>
          </cell>
          <cell r="G100" t="str">
            <v>CM</v>
          </cell>
          <cell r="H100" t="str">
            <v>CL 28  15 - 46</v>
          </cell>
          <cell r="J100">
            <v>0</v>
          </cell>
        </row>
        <row r="101">
          <cell r="C101">
            <v>8405</v>
          </cell>
          <cell r="D101" t="str">
            <v>CM LA GRAN VIDA</v>
          </cell>
          <cell r="E101" t="str">
            <v>S</v>
          </cell>
          <cell r="F101" t="str">
            <v>20001</v>
          </cell>
          <cell r="G101" t="str">
            <v>CM</v>
          </cell>
          <cell r="H101" t="str">
            <v>CR 18D  23 - 53</v>
          </cell>
          <cell r="J101">
            <v>0</v>
          </cell>
        </row>
        <row r="102">
          <cell r="C102">
            <v>17713</v>
          </cell>
          <cell r="D102" t="str">
            <v>CM SICARARE</v>
          </cell>
          <cell r="E102" t="str">
            <v>S</v>
          </cell>
          <cell r="F102" t="str">
            <v>20001</v>
          </cell>
          <cell r="G102" t="str">
            <v xml:space="preserve">CM </v>
          </cell>
          <cell r="H102" t="str">
            <v>CR||19|B||||#|6|B|-|45|||</v>
          </cell>
          <cell r="J102">
            <v>120523</v>
          </cell>
          <cell r="L102" t="str">
            <v>10.4678</v>
          </cell>
          <cell r="M102" t="str">
            <v>-73.2388</v>
          </cell>
        </row>
        <row r="103">
          <cell r="C103">
            <v>17954</v>
          </cell>
          <cell r="D103" t="str">
            <v>CM INTERNET FREEFIRE</v>
          </cell>
          <cell r="E103" t="str">
            <v>S</v>
          </cell>
          <cell r="F103" t="str">
            <v>20175</v>
          </cell>
          <cell r="G103" t="str">
            <v xml:space="preserve">CM </v>
          </cell>
          <cell r="H103" t="str">
            <v>CL||8|||||#|7||-|77|||</v>
          </cell>
          <cell r="J103">
            <v>120523</v>
          </cell>
          <cell r="L103" t="str">
            <v>9.260428</v>
          </cell>
          <cell r="M103" t="str">
            <v>-73.812026</v>
          </cell>
        </row>
        <row r="104">
          <cell r="C104">
            <v>18944</v>
          </cell>
          <cell r="D104" t="str">
            <v>CDA PEDIATRICO</v>
          </cell>
          <cell r="E104" t="str">
            <v>S</v>
          </cell>
          <cell r="F104" t="str">
            <v>20001</v>
          </cell>
          <cell r="G104" t="str">
            <v xml:space="preserve">CDA </v>
          </cell>
          <cell r="H104" t="str">
            <v>CR||18|D||||#|27||-|46|||</v>
          </cell>
          <cell r="J104">
            <v>120523</v>
          </cell>
          <cell r="L104" t="str">
            <v>10.4569</v>
          </cell>
          <cell r="M104" t="str">
            <v>-73.2488</v>
          </cell>
        </row>
        <row r="105">
          <cell r="C105">
            <v>13421</v>
          </cell>
          <cell r="D105" t="str">
            <v>CM BETPLAY CAMPO SERRANO</v>
          </cell>
          <cell r="E105" t="str">
            <v>S</v>
          </cell>
          <cell r="F105" t="str">
            <v>20011</v>
          </cell>
          <cell r="G105" t="str">
            <v xml:space="preserve">CM </v>
          </cell>
          <cell r="H105" t="str">
            <v>CR||7|||||#|15||-|4|||</v>
          </cell>
          <cell r="J105">
            <v>120523</v>
          </cell>
          <cell r="L105" t="str">
            <v>8.3067</v>
          </cell>
          <cell r="M105" t="str">
            <v>-73.628</v>
          </cell>
        </row>
        <row r="106">
          <cell r="C106">
            <v>17018</v>
          </cell>
          <cell r="D106" t="str">
            <v>PDV LOS COCOS</v>
          </cell>
          <cell r="E106" t="str">
            <v>S</v>
          </cell>
          <cell r="F106" t="str">
            <v>20001</v>
          </cell>
          <cell r="G106" t="str">
            <v xml:space="preserve">PDV </v>
          </cell>
          <cell r="H106" t="str">
            <v>CL||21|||||#|4||-|2|||</v>
          </cell>
          <cell r="J106">
            <v>120523</v>
          </cell>
          <cell r="L106" t="str">
            <v>10.4584</v>
          </cell>
          <cell r="M106" t="str">
            <v>-73.2277</v>
          </cell>
        </row>
        <row r="107">
          <cell r="C107">
            <v>8263</v>
          </cell>
          <cell r="D107" t="str">
            <v>PDV MAYALES</v>
          </cell>
          <cell r="E107" t="str">
            <v>S</v>
          </cell>
          <cell r="F107" t="str">
            <v>20001</v>
          </cell>
          <cell r="G107" t="str">
            <v xml:space="preserve">PDV </v>
          </cell>
          <cell r="H107" t="str">
            <v>OT||||||||||||||1 MZ 12 26 MAREIGUA</v>
          </cell>
          <cell r="J107">
            <v>120523</v>
          </cell>
          <cell r="L107" t="str">
            <v>10.4562</v>
          </cell>
          <cell r="M107" t="str">
            <v>-73.2404</v>
          </cell>
        </row>
        <row r="108">
          <cell r="C108">
            <v>17076</v>
          </cell>
          <cell r="D108" t="str">
            <v>PDV LOS MILAGROS</v>
          </cell>
          <cell r="E108" t="str">
            <v>S</v>
          </cell>
          <cell r="F108" t="str">
            <v>20001</v>
          </cell>
          <cell r="G108" t="str">
            <v xml:space="preserve">PDV </v>
          </cell>
          <cell r="H108" t="str">
            <v>CR||4|||||#|34||-|34|||</v>
          </cell>
          <cell r="J108">
            <v>120523</v>
          </cell>
          <cell r="L108" t="str">
            <v>10.4507</v>
          </cell>
          <cell r="M108" t="str">
            <v>-73.2323</v>
          </cell>
        </row>
        <row r="109">
          <cell r="C109">
            <v>17717</v>
          </cell>
          <cell r="D109" t="str">
            <v>CM EL BOSQUE</v>
          </cell>
          <cell r="E109" t="str">
            <v>S</v>
          </cell>
          <cell r="F109" t="str">
            <v>20011</v>
          </cell>
          <cell r="G109" t="str">
            <v xml:space="preserve">CM </v>
          </cell>
          <cell r="H109" t="str">
            <v>CL||10|||||#|35||-|29|||</v>
          </cell>
          <cell r="J109">
            <v>120523</v>
          </cell>
          <cell r="L109" t="str">
            <v>8.3129</v>
          </cell>
          <cell r="M109" t="str">
            <v>-73.6244</v>
          </cell>
        </row>
        <row r="110">
          <cell r="C110">
            <v>19107</v>
          </cell>
          <cell r="D110" t="str">
            <v xml:space="preserve">CM LA 18 </v>
          </cell>
          <cell r="E110" t="str">
            <v>S</v>
          </cell>
          <cell r="F110" t="str">
            <v>20011</v>
          </cell>
          <cell r="G110" t="str">
            <v xml:space="preserve">CM </v>
          </cell>
          <cell r="H110" t="str">
            <v>CR||18|||||#|1||-|54|||</v>
          </cell>
          <cell r="J110">
            <v>120523</v>
          </cell>
          <cell r="L110" t="str">
            <v>8.311523</v>
          </cell>
          <cell r="M110" t="str">
            <v>-73.616458</v>
          </cell>
        </row>
        <row r="111">
          <cell r="C111">
            <v>19724</v>
          </cell>
          <cell r="D111" t="str">
            <v>CM MAYE</v>
          </cell>
          <cell r="E111" t="str">
            <v>S</v>
          </cell>
          <cell r="F111" t="str">
            <v>20517</v>
          </cell>
          <cell r="G111" t="str">
            <v xml:space="preserve">CM </v>
          </cell>
          <cell r="H111" t="str">
            <v>CL||3|||||#|3||-|43|||</v>
          </cell>
          <cell r="J111">
            <v>120523</v>
          </cell>
          <cell r="L111" t="str">
            <v>8.877096</v>
          </cell>
          <cell r="M111" t="str">
            <v>-73.693982</v>
          </cell>
        </row>
        <row r="112">
          <cell r="C112">
            <v>23998</v>
          </cell>
          <cell r="D112" t="str">
            <v>CM SAN ISIDRO</v>
          </cell>
          <cell r="E112" t="str">
            <v>S</v>
          </cell>
          <cell r="F112" t="str">
            <v>20310</v>
          </cell>
          <cell r="G112" t="str">
            <v xml:space="preserve">CM </v>
          </cell>
          <cell r="H112" t="str">
            <v>OT||||||||||||||KDX 251 - 240</v>
          </cell>
          <cell r="J112">
            <v>120523</v>
          </cell>
          <cell r="L112" t="str">
            <v>8.379525</v>
          </cell>
          <cell r="M112" t="str">
            <v>-73.372548</v>
          </cell>
        </row>
        <row r="113">
          <cell r="C113">
            <v>21897</v>
          </cell>
          <cell r="D113" t="str">
            <v>CM LA CANASTA BELLAVISTA</v>
          </cell>
          <cell r="E113" t="str">
            <v>S</v>
          </cell>
          <cell r="F113" t="str">
            <v>20001</v>
          </cell>
          <cell r="G113" t="str">
            <v xml:space="preserve">CM </v>
          </cell>
          <cell r="H113" t="str">
            <v>OT||||||||||||||MZ 70 CASA 32</v>
          </cell>
          <cell r="J113">
            <v>120523</v>
          </cell>
          <cell r="L113" t="str">
            <v>10.4685</v>
          </cell>
          <cell r="M113" t="str">
            <v>-73.2852</v>
          </cell>
        </row>
        <row r="114">
          <cell r="C114">
            <v>23896</v>
          </cell>
          <cell r="D114" t="str">
            <v>CM VALLEDUPAR N°10</v>
          </cell>
          <cell r="E114" t="str">
            <v>S</v>
          </cell>
          <cell r="F114" t="str">
            <v>20001</v>
          </cell>
          <cell r="G114" t="str">
            <v xml:space="preserve">CM </v>
          </cell>
          <cell r="H114" t="str">
            <v>CR||20|||||#|13 BIS||-|3|||</v>
          </cell>
          <cell r="J114">
            <v>120523</v>
          </cell>
          <cell r="L114" t="str">
            <v>10.469807</v>
          </cell>
          <cell r="M114" t="str">
            <v>-73.2643005</v>
          </cell>
        </row>
        <row r="115">
          <cell r="C115">
            <v>41025</v>
          </cell>
          <cell r="D115" t="str">
            <v>PDV OLGA SUAREZ</v>
          </cell>
          <cell r="E115" t="str">
            <v>S</v>
          </cell>
          <cell r="F115" t="str">
            <v>20001</v>
          </cell>
          <cell r="H115" t="str">
            <v>CL||14|||||#|21|A|-|7|||</v>
          </cell>
          <cell r="J115">
            <v>120523</v>
          </cell>
          <cell r="L115" t="str">
            <v>10.467622</v>
          </cell>
          <cell r="M115" t="str">
            <v>-73.265727</v>
          </cell>
        </row>
        <row r="116">
          <cell r="C116">
            <v>41026</v>
          </cell>
          <cell r="D116" t="str">
            <v>PDV 16 DE JULIO</v>
          </cell>
          <cell r="E116" t="str">
            <v>S</v>
          </cell>
          <cell r="F116" t="str">
            <v>20060</v>
          </cell>
          <cell r="H116" t="str">
            <v>CR||18|||||#|14||-|61|||</v>
          </cell>
          <cell r="J116">
            <v>120523</v>
          </cell>
          <cell r="L116" t="str">
            <v>9.9707</v>
          </cell>
          <cell r="M116" t="str">
            <v>-73.8848</v>
          </cell>
        </row>
        <row r="117">
          <cell r="C117">
            <v>40101</v>
          </cell>
          <cell r="D117" t="str">
            <v>CM TIENDA LIÑAN</v>
          </cell>
          <cell r="E117" t="str">
            <v>S</v>
          </cell>
          <cell r="F117" t="str">
            <v>20400</v>
          </cell>
          <cell r="G117" t="str">
            <v xml:space="preserve">CM </v>
          </cell>
          <cell r="H117" t="str">
            <v>TR||8|||||#|11|A|-|31|||</v>
          </cell>
          <cell r="J117">
            <v>120523</v>
          </cell>
          <cell r="L117" t="str">
            <v>9.5709</v>
          </cell>
          <cell r="M117" t="str">
            <v>-73.3357</v>
          </cell>
        </row>
        <row r="118">
          <cell r="C118">
            <v>41063</v>
          </cell>
          <cell r="D118" t="str">
            <v>PDV 3 ESQUINA</v>
          </cell>
          <cell r="E118" t="str">
            <v>S</v>
          </cell>
          <cell r="F118" t="str">
            <v>20001</v>
          </cell>
          <cell r="H118" t="str">
            <v>CL||7|E||||#|41||-|79|||</v>
          </cell>
          <cell r="J118">
            <v>120523</v>
          </cell>
          <cell r="L118" t="str">
            <v>10.473433</v>
          </cell>
          <cell r="M118" t="str">
            <v>-73.280507</v>
          </cell>
        </row>
        <row r="119">
          <cell r="C119">
            <v>40374</v>
          </cell>
          <cell r="D119" t="str">
            <v>PDV CANDELARIA</v>
          </cell>
          <cell r="E119" t="str">
            <v>S</v>
          </cell>
          <cell r="F119" t="str">
            <v>20175</v>
          </cell>
          <cell r="G119" t="str">
            <v xml:space="preserve">PDV </v>
          </cell>
          <cell r="H119" t="str">
            <v>CL||9|||||#|7||-|96|||</v>
          </cell>
          <cell r="J119">
            <v>120523</v>
          </cell>
          <cell r="L119" t="str">
            <v>9.203868</v>
          </cell>
          <cell r="M119" t="str">
            <v>-73.878607</v>
          </cell>
        </row>
        <row r="120">
          <cell r="C120">
            <v>40392</v>
          </cell>
          <cell r="D120" t="str">
            <v>TAT VIVI</v>
          </cell>
          <cell r="E120" t="str">
            <v>S</v>
          </cell>
          <cell r="F120" t="str">
            <v>20770</v>
          </cell>
          <cell r="G120" t="str">
            <v xml:space="preserve">TAT </v>
          </cell>
          <cell r="H120" t="str">
            <v>CL||17|||||#|16||-|36|||</v>
          </cell>
          <cell r="J120">
            <v>120523</v>
          </cell>
          <cell r="L120" t="str">
            <v>8.00154</v>
          </cell>
          <cell r="M120" t="str">
            <v>-73.51239</v>
          </cell>
        </row>
        <row r="121">
          <cell r="C121">
            <v>40344</v>
          </cell>
          <cell r="D121" t="str">
            <v>CM ARENAS BLANCAS</v>
          </cell>
          <cell r="E121" t="str">
            <v>S</v>
          </cell>
          <cell r="F121" t="str">
            <v>20400</v>
          </cell>
          <cell r="G121" t="str">
            <v xml:space="preserve">CM </v>
          </cell>
          <cell r="H121" t="str">
            <v>CL||2|||||#|3||-|60|||</v>
          </cell>
          <cell r="J121">
            <v>120523</v>
          </cell>
          <cell r="L121" t="str">
            <v>9.4711</v>
          </cell>
          <cell r="M121" t="str">
            <v>-73.4486</v>
          </cell>
        </row>
        <row r="122">
          <cell r="C122">
            <v>40055</v>
          </cell>
          <cell r="D122" t="str">
            <v>PDV ALTOS DE PIMIENTA</v>
          </cell>
          <cell r="E122" t="str">
            <v>S</v>
          </cell>
          <cell r="F122" t="str">
            <v>20001</v>
          </cell>
          <cell r="G122" t="str">
            <v xml:space="preserve">PDV </v>
          </cell>
          <cell r="H122" t="str">
            <v>CL||8|||||#|6||-|91|||</v>
          </cell>
          <cell r="J122">
            <v>120523</v>
          </cell>
          <cell r="L122" t="str">
            <v>10.4722</v>
          </cell>
          <cell r="M122" t="str">
            <v>-73.2925</v>
          </cell>
        </row>
        <row r="123">
          <cell r="C123">
            <v>40104</v>
          </cell>
          <cell r="D123" t="str">
            <v>PDV 5 DE NOVIEMBRE</v>
          </cell>
          <cell r="E123" t="str">
            <v>S</v>
          </cell>
          <cell r="F123" t="str">
            <v>20001</v>
          </cell>
          <cell r="G123" t="str">
            <v xml:space="preserve">PDV </v>
          </cell>
          <cell r="H123" t="str">
            <v>CL||25|A||||#|6||-|5|||</v>
          </cell>
          <cell r="J123">
            <v>120523</v>
          </cell>
          <cell r="L123" t="str">
            <v>10.4603</v>
          </cell>
          <cell r="M123" t="str">
            <v>-73.2399</v>
          </cell>
        </row>
        <row r="124">
          <cell r="C124">
            <v>23607</v>
          </cell>
          <cell r="D124" t="str">
            <v xml:space="preserve">KZ LOS GALLOS </v>
          </cell>
          <cell r="E124" t="str">
            <v>S</v>
          </cell>
          <cell r="F124" t="str">
            <v>20001</v>
          </cell>
          <cell r="G124" t="str">
            <v>PDV</v>
          </cell>
          <cell r="H124" t="str">
            <v>CR||19|||||#|16|C|-|12|||</v>
          </cell>
          <cell r="J124">
            <v>120523</v>
          </cell>
          <cell r="L124" t="str">
            <v>10.466974</v>
          </cell>
          <cell r="M124" t="str">
            <v>-73.256051</v>
          </cell>
        </row>
        <row r="125">
          <cell r="C125">
            <v>40106</v>
          </cell>
          <cell r="D125" t="str">
            <v>PDV AVENIDA LOS ESTUDIANTES</v>
          </cell>
          <cell r="E125" t="str">
            <v>S</v>
          </cell>
          <cell r="F125" t="str">
            <v>20787</v>
          </cell>
          <cell r="G125" t="str">
            <v xml:space="preserve">PDV </v>
          </cell>
          <cell r="H125" t="str">
            <v>CR||11|||||#|8||-|98|||</v>
          </cell>
          <cell r="J125">
            <v>120523</v>
          </cell>
          <cell r="L125" t="str">
            <v>8.86112028</v>
          </cell>
          <cell r="M125" t="str">
            <v>-73.81290108</v>
          </cell>
        </row>
        <row r="126">
          <cell r="C126">
            <v>40164</v>
          </cell>
          <cell r="D126" t="str">
            <v xml:space="preserve">TAT SANDRA LA OCTAVA </v>
          </cell>
          <cell r="E126" t="str">
            <v>S</v>
          </cell>
          <cell r="F126" t="str">
            <v>20001</v>
          </cell>
          <cell r="G126" t="str">
            <v xml:space="preserve">TAT </v>
          </cell>
          <cell r="H126" t="str">
            <v>CL||23|||||#|6||-|12|||</v>
          </cell>
          <cell r="J126">
            <v>120523</v>
          </cell>
          <cell r="L126" t="str">
            <v>10.4622</v>
          </cell>
          <cell r="M126" t="str">
            <v>-73.2404</v>
          </cell>
        </row>
        <row r="127">
          <cell r="C127">
            <v>41130</v>
          </cell>
          <cell r="D127" t="str">
            <v>PDV MERCADO CODAZZI</v>
          </cell>
          <cell r="E127" t="str">
            <v>S</v>
          </cell>
          <cell r="F127" t="str">
            <v>20013</v>
          </cell>
          <cell r="H127" t="str">
            <v>CR||17|A||||#|24||-|89|||</v>
          </cell>
          <cell r="J127">
            <v>120523</v>
          </cell>
          <cell r="L127" t="str">
            <v>10.04083</v>
          </cell>
          <cell r="M127" t="str">
            <v>-73.23886</v>
          </cell>
        </row>
        <row r="128">
          <cell r="C128">
            <v>42441</v>
          </cell>
          <cell r="D128" t="str">
            <v>PDV EL PARAISO</v>
          </cell>
          <cell r="E128" t="str">
            <v>S</v>
          </cell>
          <cell r="F128" t="str">
            <v>20060</v>
          </cell>
          <cell r="H128" t="str">
            <v>CR||22|||||#|9||-|36|||</v>
          </cell>
          <cell r="J128">
            <v>120523</v>
          </cell>
          <cell r="L128" t="str">
            <v>9.965</v>
          </cell>
          <cell r="M128" t="str">
            <v>-73.8845</v>
          </cell>
        </row>
        <row r="129">
          <cell r="C129">
            <v>40630</v>
          </cell>
          <cell r="D129" t="str">
            <v xml:space="preserve">CM MARILIN </v>
          </cell>
          <cell r="E129" t="str">
            <v>S</v>
          </cell>
          <cell r="F129" t="str">
            <v>20001</v>
          </cell>
          <cell r="G129" t="str">
            <v xml:space="preserve">CM </v>
          </cell>
          <cell r="H129" t="str">
            <v>CR||44|||||#|5|B|-|30|||</v>
          </cell>
          <cell r="J129">
            <v>120523</v>
          </cell>
          <cell r="L129" t="str">
            <v>10.479321</v>
          </cell>
          <cell r="M129" t="str">
            <v>-73.2846</v>
          </cell>
        </row>
        <row r="130">
          <cell r="C130">
            <v>39826</v>
          </cell>
          <cell r="D130" t="str">
            <v>PDV LOS MURITOS CASETA</v>
          </cell>
          <cell r="E130" t="str">
            <v>S</v>
          </cell>
          <cell r="F130" t="str">
            <v>20250</v>
          </cell>
          <cell r="G130" t="str">
            <v xml:space="preserve">PDV </v>
          </cell>
          <cell r="H130" t="str">
            <v>CL||10|||||#|21||-|5|||</v>
          </cell>
          <cell r="J130">
            <v>120523</v>
          </cell>
          <cell r="L130" t="str">
            <v>9.6154</v>
          </cell>
          <cell r="M130" t="str">
            <v>-73.6067</v>
          </cell>
        </row>
        <row r="131">
          <cell r="C131">
            <v>40490</v>
          </cell>
          <cell r="D131" t="str">
            <v>PDV LA SEGUNDA CON VENTISEIS</v>
          </cell>
          <cell r="E131" t="str">
            <v>S</v>
          </cell>
          <cell r="F131" t="str">
            <v>20011</v>
          </cell>
          <cell r="G131" t="str">
            <v xml:space="preserve">PDV </v>
          </cell>
          <cell r="H131" t="str">
            <v>CL||2|||||#|26||-|9|||</v>
          </cell>
          <cell r="J131">
            <v>120523</v>
          </cell>
          <cell r="L131" t="str">
            <v>8.3126785</v>
          </cell>
          <cell r="M131" t="str">
            <v>-73.609291</v>
          </cell>
        </row>
        <row r="132">
          <cell r="C132">
            <v>40544</v>
          </cell>
          <cell r="D132" t="str">
            <v>PDV LA TRONCAL DEL COPEY</v>
          </cell>
          <cell r="E132" t="str">
            <v>S</v>
          </cell>
          <cell r="F132" t="str">
            <v>20238</v>
          </cell>
          <cell r="G132" t="str">
            <v xml:space="preserve">PDV </v>
          </cell>
          <cell r="H132" t="str">
            <v>CR||6|||||#|4|A|-|9|||</v>
          </cell>
          <cell r="J132">
            <v>120523</v>
          </cell>
          <cell r="L132" t="str">
            <v>10.150308</v>
          </cell>
          <cell r="M132" t="str">
            <v>-73.9535</v>
          </cell>
        </row>
        <row r="133">
          <cell r="C133">
            <v>43354</v>
          </cell>
          <cell r="D133" t="str">
            <v>PDV POLICIA NACIONAL</v>
          </cell>
          <cell r="E133" t="str">
            <v>S</v>
          </cell>
          <cell r="F133" t="str">
            <v>20001</v>
          </cell>
          <cell r="H133" t="str">
            <v>CR||7|||||#|23||-|165|||</v>
          </cell>
          <cell r="J133">
            <v>120523</v>
          </cell>
          <cell r="L133" t="str">
            <v>10.4603</v>
          </cell>
          <cell r="M133" t="str">
            <v>-73.243</v>
          </cell>
        </row>
        <row r="134">
          <cell r="C134">
            <v>43501</v>
          </cell>
          <cell r="D134" t="str">
            <v>CM IDEMA AGUACHICA</v>
          </cell>
          <cell r="E134" t="str">
            <v>S</v>
          </cell>
          <cell r="F134" t="str">
            <v>20011</v>
          </cell>
          <cell r="H134" t="str">
            <v>CR||11|C||||#|12||-|4|||</v>
          </cell>
          <cell r="J134">
            <v>120523</v>
          </cell>
          <cell r="L134" t="str">
            <v>8.300256</v>
          </cell>
          <cell r="M134" t="str">
            <v>-73.620447</v>
          </cell>
        </row>
        <row r="135">
          <cell r="C135">
            <v>47123</v>
          </cell>
          <cell r="D135" t="str">
            <v>AMBULANTE LA GLORIA CLARO</v>
          </cell>
          <cell r="E135" t="str">
            <v>S</v>
          </cell>
          <cell r="F135" t="str">
            <v>20383</v>
          </cell>
          <cell r="J135">
            <v>0</v>
          </cell>
          <cell r="L135" t="str">
            <v>8.617435</v>
          </cell>
          <cell r="M135" t="str">
            <v>-73.803569</v>
          </cell>
        </row>
        <row r="136">
          <cell r="C136">
            <v>47146</v>
          </cell>
          <cell r="D136" t="str">
            <v>AMBULANTE ASTREA MOVISTAR</v>
          </cell>
          <cell r="E136" t="str">
            <v>S</v>
          </cell>
          <cell r="F136" t="str">
            <v>20032</v>
          </cell>
          <cell r="H136" t="str">
            <v>CL 7 # 3-76</v>
          </cell>
          <cell r="J136">
            <v>0</v>
          </cell>
          <cell r="L136" t="str">
            <v>9.4979</v>
          </cell>
          <cell r="M136" t="str">
            <v>-73.9779</v>
          </cell>
        </row>
        <row r="137">
          <cell r="C137">
            <v>44444</v>
          </cell>
          <cell r="D137" t="str">
            <v xml:space="preserve">CM YUDIS </v>
          </cell>
          <cell r="E137" t="str">
            <v>S</v>
          </cell>
          <cell r="F137" t="str">
            <v>20001</v>
          </cell>
          <cell r="H137" t="str">
            <v>CL||30|||||#|25||-|31|||</v>
          </cell>
          <cell r="J137">
            <v>120523</v>
          </cell>
          <cell r="L137" t="str">
            <v>10.4515</v>
          </cell>
          <cell r="M137" t="str">
            <v>-73.2558</v>
          </cell>
        </row>
        <row r="138">
          <cell r="C138">
            <v>43519</v>
          </cell>
          <cell r="D138" t="str">
            <v>CM LUZ DARY</v>
          </cell>
          <cell r="E138" t="str">
            <v>S</v>
          </cell>
          <cell r="F138" t="str">
            <v>20550</v>
          </cell>
          <cell r="H138" t="str">
            <v>OT||||||||||||||MZN  D CASA 13</v>
          </cell>
          <cell r="J138">
            <v>120523</v>
          </cell>
          <cell r="L138" t="str">
            <v>8.6876699</v>
          </cell>
          <cell r="M138" t="str">
            <v>-73.6593828</v>
          </cell>
        </row>
        <row r="139">
          <cell r="C139">
            <v>46353</v>
          </cell>
          <cell r="D139" t="str">
            <v>CM PANADERIA LA 27</v>
          </cell>
          <cell r="E139" t="str">
            <v>S</v>
          </cell>
          <cell r="F139" t="str">
            <v>20001</v>
          </cell>
          <cell r="H139" t="str">
            <v>OT||||||||||||||MZ 14 CASA 2 VILLA HAIDITH</v>
          </cell>
          <cell r="J139">
            <v>260523</v>
          </cell>
          <cell r="L139" t="str">
            <v>10.42952</v>
          </cell>
          <cell r="M139" t="str">
            <v>-73.25652</v>
          </cell>
        </row>
        <row r="140">
          <cell r="C140">
            <v>43674</v>
          </cell>
          <cell r="D140" t="str">
            <v xml:space="preserve">PDV LA VEGA </v>
          </cell>
          <cell r="E140" t="str">
            <v>S</v>
          </cell>
          <cell r="F140" t="str">
            <v>20001</v>
          </cell>
          <cell r="H140" t="str">
            <v>CL||6|||||#|1||-|290|||</v>
          </cell>
          <cell r="J140">
            <v>120523</v>
          </cell>
          <cell r="L140" t="str">
            <v>10.654355</v>
          </cell>
          <cell r="M140" t="str">
            <v>-73.201615</v>
          </cell>
        </row>
        <row r="141">
          <cell r="C141">
            <v>43747</v>
          </cell>
          <cell r="D141" t="str">
            <v xml:space="preserve">PDV LA GLORIA </v>
          </cell>
          <cell r="E141" t="str">
            <v>S</v>
          </cell>
          <cell r="F141" t="str">
            <v>20383</v>
          </cell>
          <cell r="H141" t="str">
            <v>CR||4|||||#|1||-|5|||</v>
          </cell>
          <cell r="J141">
            <v>120523</v>
          </cell>
          <cell r="L141" t="str">
            <v>8.618722278</v>
          </cell>
          <cell r="M141" t="str">
            <v>-73.80460563</v>
          </cell>
        </row>
        <row r="142">
          <cell r="C142">
            <v>44909</v>
          </cell>
          <cell r="D142" t="str">
            <v>CM JAIMES</v>
          </cell>
          <cell r="E142" t="str">
            <v>S</v>
          </cell>
          <cell r="F142" t="str">
            <v>20770</v>
          </cell>
          <cell r="H142" t="str">
            <v>CR||2|||||#|3||-|02|||</v>
          </cell>
          <cell r="J142">
            <v>120523</v>
          </cell>
          <cell r="L142" t="str">
            <v>7.9002749</v>
          </cell>
          <cell r="M142" t="str">
            <v>-73.571276</v>
          </cell>
        </row>
        <row r="143">
          <cell r="C143">
            <v>45165</v>
          </cell>
          <cell r="D143" t="str">
            <v>GIROS MOVIL  STC</v>
          </cell>
          <cell r="E143" t="str">
            <v>S</v>
          </cell>
          <cell r="F143" t="str">
            <v>20001</v>
          </cell>
          <cell r="G143" t="str">
            <v>AMB</v>
          </cell>
          <cell r="H143" t="str">
            <v>CR||12|||||#|16||-|42|||</v>
          </cell>
          <cell r="J143">
            <v>120523</v>
          </cell>
          <cell r="L143" t="str">
            <v>10.473047</v>
          </cell>
          <cell r="M143" t="str">
            <v>-73.249477</v>
          </cell>
        </row>
        <row r="144">
          <cell r="C144">
            <v>45442</v>
          </cell>
          <cell r="D144" t="str">
            <v>TAT MELISA</v>
          </cell>
          <cell r="E144" t="str">
            <v>S</v>
          </cell>
          <cell r="F144" t="str">
            <v>20060</v>
          </cell>
          <cell r="H144" t="str">
            <v>CL||22|||||#|22||-|85|||</v>
          </cell>
          <cell r="J144">
            <v>120523</v>
          </cell>
          <cell r="L144" t="str">
            <v>9.97748</v>
          </cell>
          <cell r="M144" t="str">
            <v>-73.876823</v>
          </cell>
        </row>
        <row r="145">
          <cell r="C145">
            <v>47096</v>
          </cell>
          <cell r="D145" t="str">
            <v>AMBULANTE SAN DIEGO CLARO</v>
          </cell>
          <cell r="E145" t="str">
            <v>S</v>
          </cell>
          <cell r="F145" t="str">
            <v>20750</v>
          </cell>
          <cell r="J145">
            <v>0</v>
          </cell>
          <cell r="L145" t="str">
            <v>10.335776</v>
          </cell>
          <cell r="M145" t="str">
            <v>-73.178657</v>
          </cell>
        </row>
        <row r="146">
          <cell r="C146">
            <v>44637</v>
          </cell>
          <cell r="D146" t="str">
            <v xml:space="preserve">CM ECONOMIA MOVISTAR </v>
          </cell>
          <cell r="E146" t="str">
            <v>S</v>
          </cell>
          <cell r="F146" t="str">
            <v>20001</v>
          </cell>
          <cell r="H146" t="str">
            <v>CR||19|||||#|16|A|-|12|||</v>
          </cell>
          <cell r="J146">
            <v>120523</v>
          </cell>
          <cell r="L146" t="str">
            <v>10.4683</v>
          </cell>
          <cell r="M146" t="str">
            <v>-73.2567</v>
          </cell>
        </row>
        <row r="147">
          <cell r="C147">
            <v>47100</v>
          </cell>
          <cell r="D147" t="str">
            <v>AMBULANTE EL PASO TIGO</v>
          </cell>
          <cell r="E147" t="str">
            <v>S</v>
          </cell>
          <cell r="F147" t="str">
            <v>20250</v>
          </cell>
          <cell r="J147">
            <v>0</v>
          </cell>
          <cell r="L147" t="str">
            <v>9.6589</v>
          </cell>
          <cell r="M147" t="str">
            <v>-73.7507</v>
          </cell>
        </row>
        <row r="148">
          <cell r="C148">
            <v>43481</v>
          </cell>
          <cell r="D148" t="str">
            <v>CM 27 DE MARZO</v>
          </cell>
          <cell r="E148" t="str">
            <v>S</v>
          </cell>
          <cell r="F148" t="str">
            <v>20517</v>
          </cell>
          <cell r="H148" t="str">
            <v>CL||1|A||||#|13||-|9|||</v>
          </cell>
          <cell r="J148">
            <v>120523</v>
          </cell>
          <cell r="L148" t="str">
            <v>8.957285</v>
          </cell>
          <cell r="M148" t="str">
            <v>-73.631494</v>
          </cell>
        </row>
        <row r="149">
          <cell r="C149">
            <v>44814</v>
          </cell>
          <cell r="D149" t="str">
            <v xml:space="preserve">AMBULANTE TIGO SAN JOSE </v>
          </cell>
          <cell r="E149" t="str">
            <v>S</v>
          </cell>
          <cell r="F149" t="str">
            <v>20621</v>
          </cell>
          <cell r="H149" t="str">
            <v>CL||6|||||#|6||-|34|||</v>
          </cell>
          <cell r="J149">
            <v>120523</v>
          </cell>
          <cell r="L149" t="str">
            <v>10.349966</v>
          </cell>
          <cell r="M149" t="str">
            <v>-73.043995</v>
          </cell>
        </row>
        <row r="150">
          <cell r="C150">
            <v>47139</v>
          </cell>
          <cell r="D150" t="str">
            <v>AMBULANTE GAMARRA TIGO</v>
          </cell>
          <cell r="E150" t="str">
            <v>S</v>
          </cell>
          <cell r="F150" t="str">
            <v>20295</v>
          </cell>
          <cell r="H150" t="str">
            <v>CL 7 # 7-40</v>
          </cell>
          <cell r="J150">
            <v>0</v>
          </cell>
          <cell r="L150" t="str">
            <v>8.32344</v>
          </cell>
          <cell r="M150" t="str">
            <v>-73.74112</v>
          </cell>
        </row>
        <row r="151">
          <cell r="C151">
            <v>45123</v>
          </cell>
          <cell r="D151" t="str">
            <v xml:space="preserve">CM MERLIS </v>
          </cell>
          <cell r="E151" t="str">
            <v>S</v>
          </cell>
          <cell r="F151" t="str">
            <v>20060</v>
          </cell>
          <cell r="H151" t="str">
            <v>CL||27|||||#|17||-|41|||</v>
          </cell>
          <cell r="J151">
            <v>120523</v>
          </cell>
          <cell r="L151" t="str">
            <v>9.9801162</v>
          </cell>
          <cell r="M151" t="str">
            <v>-73.88929</v>
          </cell>
        </row>
        <row r="152">
          <cell r="C152">
            <v>47085</v>
          </cell>
          <cell r="D152" t="str">
            <v>AMBULANTE AGUSTINCODAZZI TIGO</v>
          </cell>
          <cell r="E152" t="str">
            <v>S</v>
          </cell>
          <cell r="F152" t="str">
            <v>20013</v>
          </cell>
          <cell r="H152" t="str">
            <v>CL 17 # 15-111</v>
          </cell>
          <cell r="J152">
            <v>0</v>
          </cell>
          <cell r="L152" t="str">
            <v>10.03699</v>
          </cell>
          <cell r="M152" t="str">
            <v>-73.23657</v>
          </cell>
        </row>
        <row r="153">
          <cell r="C153">
            <v>20488</v>
          </cell>
          <cell r="D153" t="str">
            <v>PDV FRANCISCO EL HOMBRE</v>
          </cell>
          <cell r="E153" t="str">
            <v>S</v>
          </cell>
          <cell r="F153" t="str">
            <v>20001</v>
          </cell>
          <cell r="G153" t="str">
            <v xml:space="preserve">PDV </v>
          </cell>
          <cell r="H153" t="str">
            <v>CL||5|C||||#|37||-|7|||</v>
          </cell>
          <cell r="J153">
            <v>120523</v>
          </cell>
          <cell r="L153" t="str">
            <v>10.4820288</v>
          </cell>
          <cell r="M153" t="str">
            <v>-73.2765534</v>
          </cell>
        </row>
        <row r="154">
          <cell r="C154">
            <v>21020</v>
          </cell>
          <cell r="D154" t="str">
            <v>CM DONDE TIC</v>
          </cell>
          <cell r="E154" t="str">
            <v>S</v>
          </cell>
          <cell r="F154" t="str">
            <v>20001</v>
          </cell>
          <cell r="H154" t="str">
            <v>CL||14|||||#|8||-|39|||</v>
          </cell>
          <cell r="J154">
            <v>120523</v>
          </cell>
          <cell r="L154" t="str">
            <v>10.473047</v>
          </cell>
          <cell r="M154" t="str">
            <v>-73.249477</v>
          </cell>
        </row>
        <row r="155">
          <cell r="C155">
            <v>20931</v>
          </cell>
          <cell r="D155" t="str">
            <v>PVD ANTIGUO CDA ASTREA</v>
          </cell>
          <cell r="E155" t="str">
            <v>S</v>
          </cell>
          <cell r="F155" t="str">
            <v>20032</v>
          </cell>
          <cell r="G155" t="str">
            <v xml:space="preserve">PDV </v>
          </cell>
          <cell r="H155" t="str">
            <v>CL||7|||||#|3||-|76|||</v>
          </cell>
          <cell r="J155">
            <v>120523</v>
          </cell>
          <cell r="L155" t="str">
            <v>9.4994</v>
          </cell>
          <cell r="M155" t="str">
            <v>-73.9755</v>
          </cell>
        </row>
        <row r="156">
          <cell r="C156">
            <v>16817</v>
          </cell>
          <cell r="D156" t="str">
            <v>PDV OASIS DEL NORTE</v>
          </cell>
          <cell r="E156" t="str">
            <v>S</v>
          </cell>
          <cell r="F156" t="str">
            <v>20001</v>
          </cell>
          <cell r="G156" t="str">
            <v xml:space="preserve">PDV </v>
          </cell>
          <cell r="H156" t="str">
            <v>CR||30|||||#|7|A|-|10|||</v>
          </cell>
          <cell r="J156">
            <v>120523</v>
          </cell>
          <cell r="L156" t="str">
            <v>10.487599</v>
          </cell>
          <cell r="M156" t="str">
            <v>-73.281888</v>
          </cell>
        </row>
        <row r="157">
          <cell r="C157">
            <v>13504</v>
          </cell>
          <cell r="D157" t="str">
            <v>CM BARAHOJA 2</v>
          </cell>
          <cell r="E157" t="str">
            <v>S</v>
          </cell>
          <cell r="F157" t="str">
            <v>20011</v>
          </cell>
          <cell r="G157" t="str">
            <v xml:space="preserve">CM </v>
          </cell>
          <cell r="H157" t="str">
            <v>CR||7|||||#|7||-|2|||</v>
          </cell>
          <cell r="J157">
            <v>120523</v>
          </cell>
          <cell r="L157" t="str">
            <v>8.312321</v>
          </cell>
          <cell r="M157" t="str">
            <v>-73.625475</v>
          </cell>
        </row>
        <row r="158">
          <cell r="C158">
            <v>13528</v>
          </cell>
          <cell r="D158" t="str">
            <v>CM VARIEDADES KATERINE</v>
          </cell>
          <cell r="E158" t="str">
            <v>S</v>
          </cell>
          <cell r="F158" t="str">
            <v>20001</v>
          </cell>
          <cell r="G158" t="str">
            <v xml:space="preserve">CM </v>
          </cell>
          <cell r="H158" t="str">
            <v>CR||32|A||||#|18|B|-|5|||</v>
          </cell>
          <cell r="J158">
            <v>120523</v>
          </cell>
          <cell r="L158" t="str">
            <v>10.452426</v>
          </cell>
          <cell r="M158" t="str">
            <v>-73.267629</v>
          </cell>
        </row>
        <row r="159">
          <cell r="C159">
            <v>41089</v>
          </cell>
          <cell r="D159" t="str">
            <v>PDV EL PARQUE DE VILLA TAXI</v>
          </cell>
          <cell r="E159" t="str">
            <v>S</v>
          </cell>
          <cell r="F159" t="str">
            <v>20001</v>
          </cell>
          <cell r="H159" t="str">
            <v>OT||||||||||||||SECTOR 1 MZ H CASA 11</v>
          </cell>
          <cell r="J159">
            <v>120523</v>
          </cell>
          <cell r="L159" t="str">
            <v>10.449833</v>
          </cell>
          <cell r="M159" t="str">
            <v>-73.27713</v>
          </cell>
        </row>
        <row r="160">
          <cell r="C160">
            <v>44517</v>
          </cell>
          <cell r="D160" t="str">
            <v xml:space="preserve">PDV CASETA VILLA ARCADIA </v>
          </cell>
          <cell r="E160" t="str">
            <v>S</v>
          </cell>
          <cell r="F160" t="str">
            <v>20001</v>
          </cell>
          <cell r="H160" t="str">
            <v>CL||19|||||#|33||-|38|||</v>
          </cell>
          <cell r="J160">
            <v>120523</v>
          </cell>
          <cell r="L160" t="str">
            <v>10.449519</v>
          </cell>
          <cell r="M160" t="str">
            <v>-73.268782</v>
          </cell>
        </row>
        <row r="161">
          <cell r="C161">
            <v>44681</v>
          </cell>
          <cell r="D161" t="str">
            <v xml:space="preserve">CM ESNEIDER </v>
          </cell>
          <cell r="E161" t="str">
            <v>S</v>
          </cell>
          <cell r="F161" t="str">
            <v>20550</v>
          </cell>
          <cell r="H161" t="str">
            <v>CL||3|||||#|4||-|67|||</v>
          </cell>
          <cell r="J161">
            <v>120523</v>
          </cell>
          <cell r="L161" t="str">
            <v>8.679702</v>
          </cell>
          <cell r="M161" t="str">
            <v>-73.725801</v>
          </cell>
        </row>
        <row r="162">
          <cell r="C162">
            <v>44724</v>
          </cell>
          <cell r="D162" t="str">
            <v xml:space="preserve">CM TIENDA LAURA DANIELA </v>
          </cell>
          <cell r="E162" t="str">
            <v>S</v>
          </cell>
          <cell r="F162" t="str">
            <v>20238</v>
          </cell>
          <cell r="H162" t="str">
            <v>CR||18|||||#|14||-|12|||</v>
          </cell>
          <cell r="J162">
            <v>120523</v>
          </cell>
          <cell r="L162" t="str">
            <v>10.151972</v>
          </cell>
          <cell r="M162" t="str">
            <v>-73.963917</v>
          </cell>
        </row>
        <row r="163">
          <cell r="C163">
            <v>44895</v>
          </cell>
          <cell r="D163" t="str">
            <v>TAT WILMER MINDIOLA</v>
          </cell>
          <cell r="E163" t="str">
            <v>S</v>
          </cell>
          <cell r="F163" t="str">
            <v>20400</v>
          </cell>
          <cell r="H163" t="str">
            <v>DG||1|||||#|5||-|35|||</v>
          </cell>
          <cell r="J163">
            <v>120523</v>
          </cell>
          <cell r="L163" t="str">
            <v>9.564</v>
          </cell>
          <cell r="M163" t="str">
            <v>-73.3366</v>
          </cell>
        </row>
        <row r="164">
          <cell r="C164">
            <v>46183</v>
          </cell>
          <cell r="D164" t="str">
            <v>CM SIRLEY</v>
          </cell>
          <cell r="E164" t="str">
            <v>S</v>
          </cell>
          <cell r="F164" t="str">
            <v>20710</v>
          </cell>
          <cell r="H164" t="str">
            <v>CL||2|C||||#|6|A|-|52|||</v>
          </cell>
          <cell r="J164">
            <v>260523</v>
          </cell>
          <cell r="L164" t="str">
            <v>7.759135</v>
          </cell>
          <cell r="M164" t="str">
            <v>-73.3940033</v>
          </cell>
        </row>
        <row r="165">
          <cell r="C165">
            <v>43689</v>
          </cell>
          <cell r="D165" t="str">
            <v>CM DOÑA MARTHA</v>
          </cell>
          <cell r="E165" t="str">
            <v>S</v>
          </cell>
          <cell r="F165" t="str">
            <v>20400</v>
          </cell>
          <cell r="H165" t="str">
            <v>CL||2|||||#|201||-|5|||</v>
          </cell>
          <cell r="J165">
            <v>120523</v>
          </cell>
          <cell r="L165" t="str">
            <v>9.5028</v>
          </cell>
          <cell r="M165" t="str">
            <v>-73.4059</v>
          </cell>
        </row>
        <row r="166">
          <cell r="C166">
            <v>44904</v>
          </cell>
          <cell r="D166" t="str">
            <v xml:space="preserve">CM TIENDA ARCOIRIS </v>
          </cell>
          <cell r="E166" t="str">
            <v>S</v>
          </cell>
          <cell r="F166" t="str">
            <v>20175</v>
          </cell>
          <cell r="H166" t="str">
            <v>CL||10|||||#|7||-|26|||</v>
          </cell>
          <cell r="J166">
            <v>120523</v>
          </cell>
          <cell r="L166" t="str">
            <v>9.257952</v>
          </cell>
          <cell r="M166" t="str">
            <v>-73.813218</v>
          </cell>
        </row>
        <row r="167">
          <cell r="C167">
            <v>44921</v>
          </cell>
          <cell r="D167" t="str">
            <v xml:space="preserve">CM TIENDA MARIO </v>
          </cell>
          <cell r="E167" t="str">
            <v>S</v>
          </cell>
          <cell r="F167" t="str">
            <v>20011</v>
          </cell>
          <cell r="H167" t="str">
            <v>CL||23|||||#|12||-|44|||</v>
          </cell>
          <cell r="J167">
            <v>120523</v>
          </cell>
          <cell r="L167" t="str">
            <v>8.294365</v>
          </cell>
          <cell r="M167" t="str">
            <v>-73.616322</v>
          </cell>
        </row>
        <row r="168">
          <cell r="C168">
            <v>45137</v>
          </cell>
          <cell r="D168" t="str">
            <v>PDV 18 DE FEBRERO</v>
          </cell>
          <cell r="E168" t="str">
            <v>S</v>
          </cell>
          <cell r="F168" t="str">
            <v>20060</v>
          </cell>
          <cell r="H168" t="str">
            <v>CR||21|||||#|29||-|13|||</v>
          </cell>
          <cell r="J168">
            <v>120523</v>
          </cell>
          <cell r="L168" t="str">
            <v>9.9777</v>
          </cell>
          <cell r="M168" t="str">
            <v>-73.895</v>
          </cell>
        </row>
        <row r="169">
          <cell r="C169">
            <v>19108</v>
          </cell>
          <cell r="D169" t="str">
            <v>CM SIERRRA NEVADA</v>
          </cell>
          <cell r="E169" t="str">
            <v>S</v>
          </cell>
          <cell r="F169" t="str">
            <v>20001</v>
          </cell>
          <cell r="G169" t="str">
            <v xml:space="preserve">CM </v>
          </cell>
          <cell r="H169" t="str">
            <v>OT||||||||||||||MZ B -33 BL A AP 102</v>
          </cell>
          <cell r="J169">
            <v>120523</v>
          </cell>
          <cell r="L169" t="str">
            <v>10.488364</v>
          </cell>
          <cell r="M169" t="str">
            <v>-73.274615</v>
          </cell>
        </row>
        <row r="170">
          <cell r="C170">
            <v>45209</v>
          </cell>
          <cell r="D170" t="str">
            <v>CM LA PULE</v>
          </cell>
          <cell r="E170" t="str">
            <v>S</v>
          </cell>
          <cell r="F170" t="str">
            <v>20001</v>
          </cell>
          <cell r="H170" t="str">
            <v>CR||4|||||#|16|C|-|103|||</v>
          </cell>
          <cell r="J170">
            <v>120523</v>
          </cell>
          <cell r="L170" t="str">
            <v>10.4764</v>
          </cell>
          <cell r="M170" t="str">
            <v>-73.2412</v>
          </cell>
        </row>
        <row r="171">
          <cell r="C171">
            <v>45364</v>
          </cell>
          <cell r="D171" t="str">
            <v>CM TECNISERVICIOS</v>
          </cell>
          <cell r="E171" t="str">
            <v>S</v>
          </cell>
          <cell r="F171" t="str">
            <v>20001</v>
          </cell>
          <cell r="H171" t="str">
            <v>CR||4|||||#|17|B|-|146|||</v>
          </cell>
          <cell r="J171">
            <v>120523</v>
          </cell>
          <cell r="L171" t="str">
            <v>10.474</v>
          </cell>
          <cell r="M171" t="str">
            <v>-73.2393</v>
          </cell>
        </row>
        <row r="172">
          <cell r="C172">
            <v>43449</v>
          </cell>
          <cell r="D172" t="str">
            <v>PDV EL CARMEN</v>
          </cell>
          <cell r="E172" t="str">
            <v>S</v>
          </cell>
          <cell r="F172" t="str">
            <v>20060</v>
          </cell>
          <cell r="H172" t="str">
            <v>CR||22|||||#|19||-|55|||</v>
          </cell>
          <cell r="J172">
            <v>120523</v>
          </cell>
          <cell r="L172" t="str">
            <v>9.9719</v>
          </cell>
          <cell r="M172" t="str">
            <v>-73.891</v>
          </cell>
        </row>
        <row r="173">
          <cell r="C173">
            <v>46958</v>
          </cell>
          <cell r="D173" t="str">
            <v>CM DELIJERO</v>
          </cell>
          <cell r="E173" t="str">
            <v>S</v>
          </cell>
          <cell r="F173" t="str">
            <v>20228</v>
          </cell>
          <cell r="H173" t="str">
            <v xml:space="preserve">CL 5 # 7-74 </v>
          </cell>
          <cell r="J173">
            <v>0</v>
          </cell>
          <cell r="L173" t="str">
            <v>9.292438</v>
          </cell>
          <cell r="M173" t="str">
            <v>-73.514968</v>
          </cell>
        </row>
        <row r="174">
          <cell r="C174">
            <v>46920</v>
          </cell>
          <cell r="D174" t="str">
            <v>CM 20 DE MAYO</v>
          </cell>
          <cell r="E174" t="str">
            <v>S</v>
          </cell>
          <cell r="F174" t="str">
            <v>20060</v>
          </cell>
          <cell r="H174" t="str">
            <v>CR 18A # 28-44 BARRIO 20 DE MAYO</v>
          </cell>
          <cell r="J174">
            <v>0</v>
          </cell>
          <cell r="L174" t="str">
            <v>9.980210</v>
          </cell>
          <cell r="M174" t="str">
            <v>-73.891815</v>
          </cell>
        </row>
        <row r="175">
          <cell r="C175">
            <v>46901</v>
          </cell>
          <cell r="D175" t="str">
            <v>TAT JOSEFA</v>
          </cell>
          <cell r="E175" t="str">
            <v>S</v>
          </cell>
          <cell r="F175" t="str">
            <v>20001</v>
          </cell>
          <cell r="H175" t="str">
            <v>TV 29 # 18C-16 BARRIO SABANAS DEL VALLE</v>
          </cell>
          <cell r="J175">
            <v>0</v>
          </cell>
          <cell r="L175" t="str">
            <v>10.453900</v>
          </cell>
          <cell r="M175" t="str">
            <v>-73.263400</v>
          </cell>
        </row>
        <row r="176">
          <cell r="C176">
            <v>47117</v>
          </cell>
          <cell r="D176" t="str">
            <v>AMBULANTE BECERRIL CLARO</v>
          </cell>
          <cell r="E176" t="str">
            <v>S</v>
          </cell>
          <cell r="F176" t="str">
            <v>20045</v>
          </cell>
          <cell r="H176" t="str">
            <v>CL 9 # 3-77</v>
          </cell>
          <cell r="J176">
            <v>0</v>
          </cell>
          <cell r="L176" t="str">
            <v>9.70359</v>
          </cell>
          <cell r="M176" t="str">
            <v>-73.28087</v>
          </cell>
        </row>
        <row r="177">
          <cell r="C177">
            <v>47103</v>
          </cell>
          <cell r="D177" t="str">
            <v>AMBULANTE LA PAZ TIGO</v>
          </cell>
          <cell r="E177" t="str">
            <v>S</v>
          </cell>
          <cell r="F177" t="str">
            <v>20621</v>
          </cell>
          <cell r="J177">
            <v>0</v>
          </cell>
          <cell r="L177" t="str">
            <v>10.386577</v>
          </cell>
          <cell r="M177" t="str">
            <v>-73.170702</v>
          </cell>
        </row>
        <row r="178">
          <cell r="C178">
            <v>46216</v>
          </cell>
          <cell r="D178" t="str">
            <v>CM FERRETERIA ESPAÑA</v>
          </cell>
          <cell r="E178" t="str">
            <v>S</v>
          </cell>
          <cell r="F178" t="str">
            <v>20001</v>
          </cell>
          <cell r="H178" t="str">
            <v>CR||37|||||#|9||-|10|||</v>
          </cell>
          <cell r="J178">
            <v>260523</v>
          </cell>
          <cell r="L178" t="str">
            <v>10.472638</v>
          </cell>
          <cell r="M178" t="str">
            <v>-73.276718</v>
          </cell>
        </row>
        <row r="179">
          <cell r="C179">
            <v>47113</v>
          </cell>
          <cell r="D179" t="str">
            <v>AMBULANTE PELAYA MOVISTAR</v>
          </cell>
          <cell r="E179" t="str">
            <v>S</v>
          </cell>
          <cell r="F179" t="str">
            <v>20550</v>
          </cell>
          <cell r="H179" t="str">
            <v>CR 8 # 8-85</v>
          </cell>
          <cell r="J179">
            <v>0</v>
          </cell>
          <cell r="L179" t="str">
            <v>8.690177</v>
          </cell>
          <cell r="M179" t="str">
            <v>-73.663931</v>
          </cell>
        </row>
        <row r="180">
          <cell r="C180">
            <v>47628</v>
          </cell>
          <cell r="D180" t="str">
            <v>CM LOS CANARIOS</v>
          </cell>
          <cell r="E180" t="str">
            <v>S</v>
          </cell>
          <cell r="F180" t="str">
            <v>20001</v>
          </cell>
          <cell r="H180" t="str">
            <v>CL 37 # 20-03 BARRIO SAN MARTIN</v>
          </cell>
          <cell r="J180">
            <v>0</v>
          </cell>
          <cell r="L180" t="str">
            <v>10.44983</v>
          </cell>
          <cell r="M180" t="str">
            <v>-73.24852</v>
          </cell>
        </row>
        <row r="181">
          <cell r="C181">
            <v>302140</v>
          </cell>
          <cell r="D181" t="str">
            <v>CM LA AURORA RH</v>
          </cell>
          <cell r="E181" t="str">
            <v>S</v>
          </cell>
          <cell r="F181" t="str">
            <v>20178</v>
          </cell>
          <cell r="H181" t="str">
            <v>CL 7 # 6-45 EL PARQUE</v>
          </cell>
          <cell r="J181">
            <v>0</v>
          </cell>
          <cell r="L181" t="str">
            <v>9.46574334</v>
          </cell>
          <cell r="M181" t="str">
            <v>-73.55431118</v>
          </cell>
        </row>
        <row r="182">
          <cell r="C182">
            <v>47792</v>
          </cell>
          <cell r="D182" t="str">
            <v>CM ISABELL</v>
          </cell>
          <cell r="E182" t="str">
            <v>S</v>
          </cell>
          <cell r="F182" t="str">
            <v>20621</v>
          </cell>
          <cell r="H182" t="str">
            <v>CL 3 CR 8-3 BARRIO EL MIRADOR</v>
          </cell>
          <cell r="J182">
            <v>0</v>
          </cell>
          <cell r="L182" t="str">
            <v>10.354601</v>
          </cell>
          <cell r="M182" t="str">
            <v>-73.05118</v>
          </cell>
        </row>
        <row r="183">
          <cell r="C183">
            <v>47791</v>
          </cell>
          <cell r="D183" t="str">
            <v>CM INSTITUTO</v>
          </cell>
          <cell r="E183" t="str">
            <v>S</v>
          </cell>
          <cell r="F183" t="str">
            <v>20013</v>
          </cell>
          <cell r="H183" t="str">
            <v>CR 26 DG 12-76 BARRIO VILLA ELIZA</v>
          </cell>
          <cell r="J183">
            <v>0</v>
          </cell>
          <cell r="L183" t="str">
            <v>10.031562</v>
          </cell>
          <cell r="M183" t="str">
            <v>-73.241331</v>
          </cell>
        </row>
        <row r="184">
          <cell r="C184">
            <v>43819</v>
          </cell>
          <cell r="D184" t="str">
            <v>CM LA 24</v>
          </cell>
          <cell r="E184" t="str">
            <v>S</v>
          </cell>
          <cell r="F184" t="str">
            <v>20011</v>
          </cell>
          <cell r="H184" t="str">
            <v>CR||24|||||#|0||-|19|||</v>
          </cell>
          <cell r="J184">
            <v>120523</v>
          </cell>
          <cell r="L184" t="str">
            <v>8.3138248</v>
          </cell>
          <cell r="M184" t="str">
            <v>-73.6111953</v>
          </cell>
        </row>
        <row r="185">
          <cell r="C185">
            <v>44677</v>
          </cell>
          <cell r="D185" t="str">
            <v xml:space="preserve">CM FLORESTA </v>
          </cell>
          <cell r="E185" t="str">
            <v>S</v>
          </cell>
          <cell r="F185" t="str">
            <v>20517</v>
          </cell>
          <cell r="H185" t="str">
            <v>CL||5|||||#|3||-|38|||</v>
          </cell>
          <cell r="J185">
            <v>120523</v>
          </cell>
          <cell r="L185" t="str">
            <v>8.843373</v>
          </cell>
          <cell r="M185" t="str">
            <v>-73.675308</v>
          </cell>
        </row>
        <row r="186">
          <cell r="C186">
            <v>44889</v>
          </cell>
          <cell r="D186" t="str">
            <v>CM NERAK</v>
          </cell>
          <cell r="E186" t="str">
            <v>S</v>
          </cell>
          <cell r="F186" t="str">
            <v>20400</v>
          </cell>
          <cell r="H186" t="str">
            <v>CL||1|||||#|1||-|40|||</v>
          </cell>
          <cell r="J186">
            <v>120523</v>
          </cell>
          <cell r="L186" t="str">
            <v>9.554823</v>
          </cell>
          <cell r="M186" t="str">
            <v>-73.332313</v>
          </cell>
        </row>
        <row r="187">
          <cell r="C187">
            <v>44910</v>
          </cell>
          <cell r="D187" t="str">
            <v xml:space="preserve">PDV LA TERCERA </v>
          </cell>
          <cell r="E187" t="str">
            <v>S</v>
          </cell>
          <cell r="F187" t="str">
            <v>20011</v>
          </cell>
          <cell r="H187" t="str">
            <v>CL||3|||||#|34||-|1|||</v>
          </cell>
          <cell r="J187">
            <v>120523</v>
          </cell>
          <cell r="L187" t="str">
            <v>8.3128993</v>
          </cell>
          <cell r="M187" t="str">
            <v>-73.6026197</v>
          </cell>
        </row>
        <row r="188">
          <cell r="C188">
            <v>44801</v>
          </cell>
          <cell r="D188" t="str">
            <v xml:space="preserve">PDV A Y A </v>
          </cell>
          <cell r="E188" t="str">
            <v>S</v>
          </cell>
          <cell r="F188" t="str">
            <v>20001</v>
          </cell>
          <cell r="H188" t="str">
            <v>CR||12|||||#|18||-|12|||</v>
          </cell>
          <cell r="J188">
            <v>120523</v>
          </cell>
          <cell r="L188" t="str">
            <v>10.4703</v>
          </cell>
          <cell r="M188" t="str">
            <v>-73.2477</v>
          </cell>
        </row>
        <row r="189">
          <cell r="C189">
            <v>47084</v>
          </cell>
          <cell r="D189" t="str">
            <v>AMBULANTE AGUSTINCODAZZI CLARO</v>
          </cell>
          <cell r="E189" t="str">
            <v>S</v>
          </cell>
          <cell r="F189" t="str">
            <v>20013</v>
          </cell>
          <cell r="H189" t="str">
            <v>CL 17 # 15-111</v>
          </cell>
          <cell r="J189">
            <v>0</v>
          </cell>
          <cell r="L189" t="str">
            <v>10.03699</v>
          </cell>
          <cell r="M189" t="str">
            <v>-73.23627</v>
          </cell>
        </row>
        <row r="190">
          <cell r="C190">
            <v>46208</v>
          </cell>
          <cell r="D190" t="str">
            <v>CM FARMA SERVICIOS</v>
          </cell>
          <cell r="E190" t="str">
            <v>S</v>
          </cell>
          <cell r="F190" t="str">
            <v>20001</v>
          </cell>
          <cell r="H190" t="str">
            <v>CR||18|D||||#|31||-|60|||</v>
          </cell>
          <cell r="J190">
            <v>260523</v>
          </cell>
          <cell r="L190" t="str">
            <v>10.45434</v>
          </cell>
          <cell r="M190" t="str">
            <v>-73.24733</v>
          </cell>
        </row>
        <row r="191">
          <cell r="C191">
            <v>250037</v>
          </cell>
          <cell r="D191" t="str">
            <v>CM TIENDA EL DESCANSO</v>
          </cell>
          <cell r="E191" t="str">
            <v>S</v>
          </cell>
          <cell r="F191" t="str">
            <v>20228</v>
          </cell>
          <cell r="H191" t="str">
            <v>CRA 12#14-75 LA CRUZ</v>
          </cell>
          <cell r="J191">
            <v>0</v>
          </cell>
          <cell r="L191" t="str">
            <v>9.207202</v>
          </cell>
          <cell r="M191" t="str">
            <v>-73.537423</v>
          </cell>
        </row>
        <row r="192">
          <cell r="C192">
            <v>300364</v>
          </cell>
          <cell r="D192" t="str">
            <v>CM ARTURO</v>
          </cell>
          <cell r="E192" t="str">
            <v>S</v>
          </cell>
          <cell r="F192" t="str">
            <v>20001</v>
          </cell>
          <cell r="H192" t="str">
            <v>SECTOR 1 MZ 161-30 URB DON ALBERTO</v>
          </cell>
          <cell r="J192">
            <v>0</v>
          </cell>
          <cell r="L192" t="str">
            <v>10.46188</v>
          </cell>
          <cell r="M192" t="str">
            <v>-73.28215</v>
          </cell>
        </row>
        <row r="193">
          <cell r="C193">
            <v>250311</v>
          </cell>
          <cell r="D193" t="str">
            <v>CM PAPELERIA EMELLY</v>
          </cell>
          <cell r="E193" t="str">
            <v>S</v>
          </cell>
          <cell r="F193" t="str">
            <v>20400</v>
          </cell>
          <cell r="H193" t="str">
            <v>DG 3 # 1-47 BARRIO LUIS CARLOS GALAN</v>
          </cell>
          <cell r="J193">
            <v>0</v>
          </cell>
          <cell r="L193" t="str">
            <v>9.570255</v>
          </cell>
          <cell r="M193" t="str">
            <v>-73.32796</v>
          </cell>
        </row>
        <row r="194">
          <cell r="C194">
            <v>301091</v>
          </cell>
          <cell r="D194" t="str">
            <v>CM MORRISON</v>
          </cell>
          <cell r="E194" t="str">
            <v>S</v>
          </cell>
          <cell r="F194" t="str">
            <v>20614</v>
          </cell>
          <cell r="H194" t="str">
            <v>CL 3A CR 4A CORR MORRISON</v>
          </cell>
          <cell r="J194">
            <v>0</v>
          </cell>
          <cell r="L194" t="str">
            <v>8.0810350</v>
          </cell>
          <cell r="M194" t="str">
            <v>-73.5557316</v>
          </cell>
        </row>
        <row r="195">
          <cell r="C195">
            <v>301093</v>
          </cell>
          <cell r="D195" t="str">
            <v>CM KAROLL 1</v>
          </cell>
          <cell r="E195" t="str">
            <v>S</v>
          </cell>
          <cell r="F195" t="str">
            <v>20011</v>
          </cell>
          <cell r="H195" t="str">
            <v>CL 1 #22-45 BARRIO LA SABANITA</v>
          </cell>
          <cell r="J195">
            <v>0</v>
          </cell>
          <cell r="L195" t="str">
            <v>8.3128077</v>
          </cell>
          <cell r="M195" t="str">
            <v>-73.6122886</v>
          </cell>
        </row>
        <row r="196">
          <cell r="C196">
            <v>250372</v>
          </cell>
          <cell r="D196" t="str">
            <v>CM DEISY</v>
          </cell>
          <cell r="E196" t="str">
            <v>S</v>
          </cell>
          <cell r="F196" t="str">
            <v>20250</v>
          </cell>
          <cell r="H196" t="str">
            <v>CL 10 CR 20-16 LA PRINCIPAL</v>
          </cell>
          <cell r="J196">
            <v>0</v>
          </cell>
          <cell r="L196" t="str">
            <v>9.61551166</v>
          </cell>
          <cell r="M196" t="str">
            <v>-73.60726</v>
          </cell>
        </row>
        <row r="197">
          <cell r="C197">
            <v>16806</v>
          </cell>
          <cell r="D197" t="str">
            <v>PDV TIERRA PROMETIDA</v>
          </cell>
          <cell r="E197" t="str">
            <v>S</v>
          </cell>
          <cell r="F197" t="str">
            <v>20001</v>
          </cell>
          <cell r="G197" t="str">
            <v xml:space="preserve">PDV </v>
          </cell>
          <cell r="H197" t="str">
            <v>CR||27|||||#|16||-|26|||</v>
          </cell>
          <cell r="J197">
            <v>120523</v>
          </cell>
          <cell r="L197" t="str">
            <v>10.442313</v>
          </cell>
          <cell r="M197" t="str">
            <v>-73.252603</v>
          </cell>
        </row>
        <row r="198">
          <cell r="C198">
            <v>16903</v>
          </cell>
          <cell r="D198" t="str">
            <v>PDV ALTA CONPLIJIDAD</v>
          </cell>
          <cell r="E198" t="str">
            <v>S</v>
          </cell>
          <cell r="F198" t="str">
            <v>20001</v>
          </cell>
          <cell r="G198" t="str">
            <v xml:space="preserve">PDV </v>
          </cell>
          <cell r="H198" t="str">
            <v>CL||11|||||#|19|C|-|2|||</v>
          </cell>
          <cell r="J198">
            <v>120523</v>
          </cell>
          <cell r="L198" t="str">
            <v>10.47191</v>
          </cell>
          <cell r="M198" t="str">
            <v>-73.256014</v>
          </cell>
        </row>
        <row r="199">
          <cell r="C199">
            <v>16808</v>
          </cell>
          <cell r="D199" t="str">
            <v>PDV LA GRANJA</v>
          </cell>
          <cell r="E199" t="str">
            <v>S</v>
          </cell>
          <cell r="F199" t="str">
            <v>20001</v>
          </cell>
          <cell r="G199" t="str">
            <v xml:space="preserve">PDV </v>
          </cell>
          <cell r="H199" t="str">
            <v>CL||9|||||#|13|A|-|04|||</v>
          </cell>
          <cell r="J199">
            <v>120523</v>
          </cell>
          <cell r="L199" t="str">
            <v>10.4688</v>
          </cell>
          <cell r="M199" t="str">
            <v>-73.2448</v>
          </cell>
        </row>
        <row r="200">
          <cell r="C200">
            <v>24051</v>
          </cell>
          <cell r="D200" t="str">
            <v>PDV DONDE YISE</v>
          </cell>
          <cell r="E200" t="str">
            <v>S</v>
          </cell>
          <cell r="F200" t="str">
            <v>20001</v>
          </cell>
          <cell r="G200" t="str">
            <v xml:space="preserve">PDV </v>
          </cell>
          <cell r="H200" t="str">
            <v>OT||||||||||||||SECTOR 1 MZ 5 - 49</v>
          </cell>
          <cell r="J200">
            <v>120523</v>
          </cell>
          <cell r="L200" t="str">
            <v>10.436233</v>
          </cell>
          <cell r="M200" t="str">
            <v>-73.256242</v>
          </cell>
        </row>
        <row r="201">
          <cell r="C201">
            <v>24053</v>
          </cell>
          <cell r="D201" t="str">
            <v>PDV 20 DE JULIO</v>
          </cell>
          <cell r="E201" t="str">
            <v>S</v>
          </cell>
          <cell r="F201" t="str">
            <v>20001</v>
          </cell>
          <cell r="G201" t="str">
            <v xml:space="preserve">PDV </v>
          </cell>
          <cell r="H201" t="str">
            <v>CR||30|||||#|11|B|-|118|||</v>
          </cell>
          <cell r="J201">
            <v>120523</v>
          </cell>
          <cell r="L201" t="str">
            <v>10.47000237</v>
          </cell>
          <cell r="M201" t="str">
            <v>-73.27099201</v>
          </cell>
        </row>
        <row r="202">
          <cell r="C202">
            <v>43426</v>
          </cell>
          <cell r="D202" t="str">
            <v>PDV VALENCIA DE JESUS</v>
          </cell>
          <cell r="E202" t="str">
            <v>S</v>
          </cell>
          <cell r="F202" t="str">
            <v>20001</v>
          </cell>
          <cell r="H202" t="str">
            <v>CR||4|||||#|1||-|3|||</v>
          </cell>
          <cell r="J202">
            <v>120523</v>
          </cell>
          <cell r="L202" t="str">
            <v>10.29936842</v>
          </cell>
          <cell r="M202" t="str">
            <v>-73.392969</v>
          </cell>
        </row>
        <row r="203">
          <cell r="C203">
            <v>43427</v>
          </cell>
          <cell r="D203" t="str">
            <v xml:space="preserve">PDV EL EDEN </v>
          </cell>
          <cell r="E203" t="str">
            <v>S</v>
          </cell>
          <cell r="F203" t="str">
            <v>20001</v>
          </cell>
          <cell r="H203" t="str">
            <v>OT||||||||||||||MZ 5 CASA 12 URB EL EDEN</v>
          </cell>
          <cell r="J203">
            <v>120523</v>
          </cell>
          <cell r="L203" t="str">
            <v>10.435144</v>
          </cell>
          <cell r="M203" t="str">
            <v>-73.264626</v>
          </cell>
        </row>
        <row r="204">
          <cell r="C204">
            <v>43935</v>
          </cell>
          <cell r="D204" t="str">
            <v>CM GUAIMARAL 2</v>
          </cell>
          <cell r="E204" t="str">
            <v>S</v>
          </cell>
          <cell r="F204" t="str">
            <v>20228</v>
          </cell>
          <cell r="H204" t="str">
            <v>CL||2|||||#|2||-|45|||</v>
          </cell>
          <cell r="J204">
            <v>120523</v>
          </cell>
          <cell r="L204" t="str">
            <v>9.22954</v>
          </cell>
          <cell r="M204" t="str">
            <v>-73.660168</v>
          </cell>
        </row>
        <row r="205">
          <cell r="C205">
            <v>45456</v>
          </cell>
          <cell r="D205" t="str">
            <v>CM LA MINA DE IRACAL</v>
          </cell>
          <cell r="E205" t="str">
            <v>S</v>
          </cell>
          <cell r="F205" t="str">
            <v>20570</v>
          </cell>
          <cell r="H205" t="str">
            <v>OT||||||||||||||MZ 2 CASA 1 MINAS DE IRACAL</v>
          </cell>
          <cell r="J205">
            <v>120523</v>
          </cell>
          <cell r="L205" t="str">
            <v>10.3647</v>
          </cell>
          <cell r="M205" t="str">
            <v>-73.4974</v>
          </cell>
        </row>
        <row r="206">
          <cell r="C206">
            <v>250282</v>
          </cell>
          <cell r="D206" t="str">
            <v>CM KIOSCO ZAIDIS</v>
          </cell>
          <cell r="E206" t="str">
            <v>S</v>
          </cell>
          <cell r="F206" t="str">
            <v>20621</v>
          </cell>
          <cell r="H206" t="str">
            <v>CL 6 # 2-22 AV SAN DIEGO</v>
          </cell>
          <cell r="J206">
            <v>0</v>
          </cell>
          <cell r="L206" t="str">
            <v>10.3821</v>
          </cell>
          <cell r="M206" t="str">
            <v>-73.1747</v>
          </cell>
        </row>
        <row r="207">
          <cell r="C207">
            <v>250401</v>
          </cell>
          <cell r="D207" t="str">
            <v>CM ESTANCO CENTRAL</v>
          </cell>
          <cell r="E207" t="str">
            <v>S</v>
          </cell>
          <cell r="F207" t="str">
            <v>20383</v>
          </cell>
          <cell r="H207" t="str">
            <v>CL 2 # 5A-22 CENTRO</v>
          </cell>
          <cell r="J207">
            <v>0</v>
          </cell>
          <cell r="L207" t="str">
            <v>8.6176</v>
          </cell>
          <cell r="M207" t="str">
            <v>-73.8036</v>
          </cell>
        </row>
        <row r="208">
          <cell r="C208">
            <v>47643</v>
          </cell>
          <cell r="D208" t="str">
            <v>LA JAGUA COLOMBIA MAYOR</v>
          </cell>
          <cell r="E208" t="str">
            <v>S</v>
          </cell>
          <cell r="F208" t="str">
            <v>20400</v>
          </cell>
          <cell r="H208" t="str">
            <v>MOVIL</v>
          </cell>
          <cell r="J208">
            <v>0</v>
          </cell>
        </row>
        <row r="209">
          <cell r="C209">
            <v>44467</v>
          </cell>
          <cell r="D209" t="str">
            <v xml:space="preserve">CM REFRI J </v>
          </cell>
          <cell r="E209" t="str">
            <v>S</v>
          </cell>
          <cell r="F209" t="str">
            <v>20013</v>
          </cell>
          <cell r="H209" t="str">
            <v>CR||14|||||#|13||-|31|||</v>
          </cell>
          <cell r="J209">
            <v>120523</v>
          </cell>
          <cell r="L209" t="str">
            <v>10.034657</v>
          </cell>
          <cell r="M209" t="str">
            <v>-73.234216</v>
          </cell>
        </row>
        <row r="210">
          <cell r="C210">
            <v>47049</v>
          </cell>
          <cell r="D210" t="str">
            <v>AMBULANTE PELAYA</v>
          </cell>
          <cell r="E210" t="str">
            <v>S</v>
          </cell>
          <cell r="F210" t="str">
            <v>20550</v>
          </cell>
          <cell r="H210" t="str">
            <v>CR||8|||||#|8||-|85|||</v>
          </cell>
          <cell r="J210">
            <v>0</v>
          </cell>
          <cell r="L210" t="str">
            <v>8.690177</v>
          </cell>
          <cell r="M210" t="str">
            <v>-73.663931</v>
          </cell>
        </row>
        <row r="211">
          <cell r="C211">
            <v>44807</v>
          </cell>
          <cell r="D211" t="str">
            <v>OFICINA PPAL SAN JOSE ORIENTE</v>
          </cell>
          <cell r="E211" t="str">
            <v>S</v>
          </cell>
          <cell r="F211" t="str">
            <v>20621</v>
          </cell>
          <cell r="H211" t="str">
            <v>CL||6|||||#|6||-|34|||</v>
          </cell>
          <cell r="J211">
            <v>0</v>
          </cell>
          <cell r="L211" t="str">
            <v>10.349966</v>
          </cell>
          <cell r="M211" t="str">
            <v>-73.043995</v>
          </cell>
        </row>
        <row r="212">
          <cell r="C212">
            <v>47127</v>
          </cell>
          <cell r="D212" t="str">
            <v>AMBULANTE CHIRIGUANA TIGO</v>
          </cell>
          <cell r="E212" t="str">
            <v>S</v>
          </cell>
          <cell r="F212" t="str">
            <v>20178</v>
          </cell>
          <cell r="H212" t="str">
            <v>CL 8 # 5A-4</v>
          </cell>
          <cell r="J212">
            <v>0</v>
          </cell>
          <cell r="L212" t="str">
            <v>9.3641</v>
          </cell>
          <cell r="M212" t="str">
            <v>-73.6024</v>
          </cell>
        </row>
        <row r="213">
          <cell r="C213">
            <v>47128</v>
          </cell>
          <cell r="D213" t="str">
            <v>AMBULANTE CHIRIGUANA MOVISTAR</v>
          </cell>
          <cell r="E213" t="str">
            <v>S</v>
          </cell>
          <cell r="F213" t="str">
            <v>20178</v>
          </cell>
          <cell r="H213" t="str">
            <v>CL 8 # 5A-4</v>
          </cell>
          <cell r="J213">
            <v>0</v>
          </cell>
          <cell r="L213" t="str">
            <v>9.3641</v>
          </cell>
          <cell r="M213" t="str">
            <v>-73.6024</v>
          </cell>
        </row>
        <row r="214">
          <cell r="C214">
            <v>47075</v>
          </cell>
          <cell r="D214" t="str">
            <v>AMBULANTE MANAURE</v>
          </cell>
          <cell r="E214" t="str">
            <v>S</v>
          </cell>
          <cell r="F214" t="str">
            <v>20443</v>
          </cell>
          <cell r="H214" t="str">
            <v>CL||3|||||#|6|A|-|22|||</v>
          </cell>
          <cell r="J214">
            <v>0</v>
          </cell>
          <cell r="L214" t="str">
            <v>10.39131166</v>
          </cell>
          <cell r="M214" t="str">
            <v>-73.02780333</v>
          </cell>
        </row>
        <row r="215">
          <cell r="C215">
            <v>47037</v>
          </cell>
          <cell r="D215" t="str">
            <v>AMBULANTE SAN ALBERTO</v>
          </cell>
          <cell r="E215" t="str">
            <v>S</v>
          </cell>
          <cell r="F215" t="str">
            <v>20710</v>
          </cell>
          <cell r="H215" t="str">
            <v>CR||3|||||#|4||-|23|||</v>
          </cell>
          <cell r="J215">
            <v>0</v>
          </cell>
          <cell r="L215" t="str">
            <v>7.76126</v>
          </cell>
          <cell r="M215" t="str">
            <v>-73.391668</v>
          </cell>
        </row>
        <row r="216">
          <cell r="C216">
            <v>47180</v>
          </cell>
          <cell r="D216" t="str">
            <v>CM SADAY</v>
          </cell>
          <cell r="E216" t="str">
            <v>S</v>
          </cell>
          <cell r="F216" t="str">
            <v>20400</v>
          </cell>
          <cell r="H216" t="str">
            <v>CL 2 # 1-80 BARRIO SAN JOSÉ</v>
          </cell>
          <cell r="J216">
            <v>0</v>
          </cell>
          <cell r="L216" t="str">
            <v>9.5554</v>
          </cell>
          <cell r="M216" t="str">
            <v>-73.3316</v>
          </cell>
        </row>
        <row r="217">
          <cell r="C217">
            <v>47345</v>
          </cell>
          <cell r="D217" t="str">
            <v>CM VARIEDADES DANY</v>
          </cell>
          <cell r="E217" t="str">
            <v>S</v>
          </cell>
          <cell r="F217" t="str">
            <v>20443</v>
          </cell>
          <cell r="H217" t="str">
            <v>SECTOR 1 MZ Q-5 BARRIO 28 DE SEPTIEMBRE</v>
          </cell>
          <cell r="J217">
            <v>0</v>
          </cell>
          <cell r="L217" t="str">
            <v>10.387436</v>
          </cell>
          <cell r="M217" t="str">
            <v>-73.036376</v>
          </cell>
        </row>
        <row r="218">
          <cell r="C218">
            <v>45322</v>
          </cell>
          <cell r="D218" t="str">
            <v>PDV SAN FRANCISCO</v>
          </cell>
          <cell r="E218" t="str">
            <v>S</v>
          </cell>
          <cell r="F218" t="str">
            <v>20621</v>
          </cell>
          <cell r="H218" t="str">
            <v>CR||6|||||#|1|N|-|60|||</v>
          </cell>
          <cell r="J218">
            <v>120523</v>
          </cell>
          <cell r="L218" t="str">
            <v>10.391</v>
          </cell>
          <cell r="M218" t="str">
            <v>-73.174473</v>
          </cell>
        </row>
        <row r="219">
          <cell r="C219">
            <v>47626</v>
          </cell>
          <cell r="D219" t="str">
            <v>CM CRIDIAMYES</v>
          </cell>
          <cell r="E219" t="str">
            <v>S</v>
          </cell>
          <cell r="F219" t="str">
            <v>20001</v>
          </cell>
          <cell r="H219" t="str">
            <v>MZ 25 CASA 26 BARRIO 450 AÑOS/1ETAPA</v>
          </cell>
          <cell r="J219">
            <v>0</v>
          </cell>
          <cell r="L219" t="str">
            <v>10.444638</v>
          </cell>
          <cell r="M219" t="str">
            <v>-73.273780</v>
          </cell>
        </row>
        <row r="220">
          <cell r="C220">
            <v>47623</v>
          </cell>
          <cell r="D220" t="str">
            <v>CM VARIEDADES YOAZ</v>
          </cell>
          <cell r="E220" t="str">
            <v>S</v>
          </cell>
          <cell r="F220" t="str">
            <v>20250</v>
          </cell>
          <cell r="H220" t="str">
            <v>CR 13 CL 10-45 BARRIO 1 DE ABRIL</v>
          </cell>
          <cell r="J220">
            <v>0</v>
          </cell>
          <cell r="L220" t="str">
            <v>9.6227</v>
          </cell>
          <cell r="M220" t="str">
            <v>-73.6043</v>
          </cell>
        </row>
        <row r="221">
          <cell r="C221">
            <v>44420</v>
          </cell>
          <cell r="D221" t="str">
            <v>CM PLAZA FERIAS 2</v>
          </cell>
          <cell r="E221" t="str">
            <v>S</v>
          </cell>
          <cell r="F221" t="str">
            <v>20011</v>
          </cell>
          <cell r="H221" t="str">
            <v>CR||7|||||#|5||-|35|||</v>
          </cell>
          <cell r="J221">
            <v>120523</v>
          </cell>
          <cell r="L221" t="str">
            <v>8.309911</v>
          </cell>
          <cell r="M221" t="str">
            <v>-73.627536</v>
          </cell>
        </row>
        <row r="222">
          <cell r="C222">
            <v>46839</v>
          </cell>
          <cell r="D222" t="str">
            <v>CM FARMANORTE 313</v>
          </cell>
          <cell r="E222" t="str">
            <v>S</v>
          </cell>
          <cell r="F222" t="str">
            <v>20001</v>
          </cell>
          <cell r="H222" t="str">
            <v>CL 7A # 23-08 BARRIO NUEVA ESPERANZA</v>
          </cell>
          <cell r="J222">
            <v>0</v>
          </cell>
          <cell r="L222" t="str">
            <v>10.478664</v>
          </cell>
          <cell r="M222" t="str">
            <v>-73.271244</v>
          </cell>
        </row>
        <row r="223">
          <cell r="C223">
            <v>47029</v>
          </cell>
          <cell r="D223" t="str">
            <v>AMBULANTE AGUACHICA</v>
          </cell>
          <cell r="E223" t="str">
            <v>S</v>
          </cell>
          <cell r="F223" t="str">
            <v>20011</v>
          </cell>
          <cell r="H223" t="str">
            <v>CL||5|||||#|17||-|39|||</v>
          </cell>
          <cell r="J223">
            <v>0</v>
          </cell>
          <cell r="L223" t="str">
            <v>8.310068</v>
          </cell>
          <cell r="M223" t="str">
            <v>-73.616822</v>
          </cell>
        </row>
        <row r="224">
          <cell r="C224">
            <v>47033</v>
          </cell>
          <cell r="D224" t="str">
            <v>AMBULANTE BOSCONIA</v>
          </cell>
          <cell r="E224" t="str">
            <v>S</v>
          </cell>
          <cell r="F224" t="str">
            <v>20060</v>
          </cell>
          <cell r="H224" t="str">
            <v>CR||18|||||#|16||-|68|||</v>
          </cell>
          <cell r="J224">
            <v>0</v>
          </cell>
          <cell r="L224" t="str">
            <v>9.9723</v>
          </cell>
          <cell r="M224" t="str">
            <v>-73.8858</v>
          </cell>
        </row>
        <row r="225">
          <cell r="C225">
            <v>300291</v>
          </cell>
          <cell r="D225" t="str">
            <v>CM MARLENY</v>
          </cell>
          <cell r="E225" t="str">
            <v>S</v>
          </cell>
          <cell r="F225" t="str">
            <v>20013</v>
          </cell>
          <cell r="H225" t="str">
            <v>CL 3 # 8-230 VEREDA LLERASCA</v>
          </cell>
          <cell r="J225">
            <v>0</v>
          </cell>
          <cell r="L225" t="str">
            <v>9.862768</v>
          </cell>
          <cell r="M225" t="str">
            <v>-73.245822</v>
          </cell>
        </row>
        <row r="226">
          <cell r="C226">
            <v>300969</v>
          </cell>
          <cell r="D226" t="str">
            <v>CM RECORDAR ES VIVIR</v>
          </cell>
          <cell r="E226" t="str">
            <v>S</v>
          </cell>
          <cell r="F226" t="str">
            <v>20001</v>
          </cell>
          <cell r="H226" t="str">
            <v>TV 26 # 18A-40 BARRIO FUNDADORES</v>
          </cell>
          <cell r="J226">
            <v>0</v>
          </cell>
          <cell r="L226" t="str">
            <v>10.456390</v>
          </cell>
          <cell r="M226" t="str">
            <v>-73.263617</v>
          </cell>
        </row>
        <row r="227">
          <cell r="C227">
            <v>300059</v>
          </cell>
          <cell r="D227" t="str">
            <v>RECAUDO MOVIL CURUMANÍ</v>
          </cell>
          <cell r="E227" t="str">
            <v>S</v>
          </cell>
          <cell r="F227" t="str">
            <v>20228</v>
          </cell>
          <cell r="H227" t="str">
            <v>CALLE 7 CRA 16ESQUINA</v>
          </cell>
          <cell r="J227">
            <v>0</v>
          </cell>
        </row>
        <row r="228">
          <cell r="C228">
            <v>302261</v>
          </cell>
          <cell r="D228" t="str">
            <v>CM YESICA DIVINO NIÑO</v>
          </cell>
          <cell r="E228" t="str">
            <v>S</v>
          </cell>
          <cell r="F228" t="str">
            <v>20295</v>
          </cell>
          <cell r="H228" t="str">
            <v>CR 1A # 15-62 URB DIVINO NIÑO</v>
          </cell>
          <cell r="J228">
            <v>0</v>
          </cell>
          <cell r="L228" t="str">
            <v>8.33226</v>
          </cell>
          <cell r="M228" t="str">
            <v>-73.72871</v>
          </cell>
        </row>
        <row r="229">
          <cell r="C229">
            <v>302592</v>
          </cell>
          <cell r="D229" t="str">
            <v>CM VARIEDADES KAREN</v>
          </cell>
          <cell r="E229" t="str">
            <v>S</v>
          </cell>
          <cell r="F229" t="str">
            <v>20001</v>
          </cell>
          <cell r="H229" t="str">
            <v>CL 26 # 21-03 BARRIO 1 DE MAYO</v>
          </cell>
          <cell r="J229">
            <v>0</v>
          </cell>
          <cell r="L229" t="str">
            <v>10.45605</v>
          </cell>
          <cell r="M229" t="str">
            <v>-73.25309</v>
          </cell>
        </row>
        <row r="230">
          <cell r="C230">
            <v>302165</v>
          </cell>
          <cell r="D230" t="str">
            <v>CM AURYCOPIAS</v>
          </cell>
          <cell r="E230" t="str">
            <v>S</v>
          </cell>
          <cell r="F230" t="str">
            <v>20250</v>
          </cell>
          <cell r="H230" t="str">
            <v>CR 9 CALL 9-139 CENTRO</v>
          </cell>
          <cell r="J230">
            <v>0</v>
          </cell>
          <cell r="L230" t="str">
            <v>9.619276</v>
          </cell>
          <cell r="M230" t="str">
            <v>-73.592030</v>
          </cell>
        </row>
        <row r="231">
          <cell r="C231">
            <v>302483</v>
          </cell>
          <cell r="D231" t="str">
            <v>CM LUISA CH</v>
          </cell>
          <cell r="E231" t="str">
            <v>S</v>
          </cell>
          <cell r="F231" t="str">
            <v>20175</v>
          </cell>
          <cell r="H231" t="str">
            <v>CL 22 # 7A-8 BARRIO POLIDEPORTIVO</v>
          </cell>
          <cell r="J231">
            <v>0</v>
          </cell>
          <cell r="L231" t="str">
            <v>9.2629</v>
          </cell>
          <cell r="M231" t="str">
            <v>-73.8093</v>
          </cell>
        </row>
        <row r="232">
          <cell r="C232">
            <v>302486</v>
          </cell>
          <cell r="D232" t="str">
            <v>CM ELIZA SAN JOSE</v>
          </cell>
          <cell r="E232" t="str">
            <v>S</v>
          </cell>
          <cell r="F232" t="str">
            <v>20295</v>
          </cell>
          <cell r="H232" t="str">
            <v>CL 8 # 11-50 BARRIO</v>
          </cell>
          <cell r="J232">
            <v>0</v>
          </cell>
          <cell r="L232" t="str">
            <v>8.32339</v>
          </cell>
          <cell r="M232" t="str">
            <v>-73.73980</v>
          </cell>
        </row>
        <row r="233">
          <cell r="C233">
            <v>300658</v>
          </cell>
          <cell r="D233" t="str">
            <v>CM LA NEGRA 2</v>
          </cell>
          <cell r="E233" t="str">
            <v>S</v>
          </cell>
          <cell r="F233" t="str">
            <v>20228</v>
          </cell>
          <cell r="H233" t="str">
            <v>CL 8 # 7-112 BARRIO LOS AZULES</v>
          </cell>
          <cell r="J233">
            <v>0</v>
          </cell>
          <cell r="L233" t="str">
            <v>9.290393</v>
          </cell>
          <cell r="M233" t="str">
            <v>-73.516083</v>
          </cell>
        </row>
        <row r="234">
          <cell r="C234">
            <v>300812</v>
          </cell>
          <cell r="D234" t="str">
            <v>CM MICROMERCADO</v>
          </cell>
          <cell r="E234" t="str">
            <v>S</v>
          </cell>
          <cell r="F234" t="str">
            <v>20228</v>
          </cell>
          <cell r="H234" t="str">
            <v xml:space="preserve">CL 12A # 3-8 </v>
          </cell>
          <cell r="J234">
            <v>0</v>
          </cell>
          <cell r="L234" t="str">
            <v>9.200475</v>
          </cell>
          <cell r="M234" t="str">
            <v>-73.528872</v>
          </cell>
        </row>
        <row r="235">
          <cell r="C235">
            <v>300055</v>
          </cell>
          <cell r="D235" t="str">
            <v>CM BELÉN</v>
          </cell>
          <cell r="E235" t="str">
            <v>S</v>
          </cell>
          <cell r="F235" t="str">
            <v>20045</v>
          </cell>
          <cell r="H235" t="str">
            <v>SECTOR 1 MZ N 28 URB MARYLIS HINOJOSA</v>
          </cell>
          <cell r="J235">
            <v>0</v>
          </cell>
          <cell r="L235" t="str">
            <v>9.005770</v>
          </cell>
          <cell r="M235" t="str">
            <v>-73.755616</v>
          </cell>
        </row>
        <row r="236">
          <cell r="C236">
            <v>301254</v>
          </cell>
          <cell r="D236" t="str">
            <v xml:space="preserve">CM LAS FLOREZ 2 </v>
          </cell>
          <cell r="E236" t="str">
            <v>S</v>
          </cell>
          <cell r="F236" t="str">
            <v>20175</v>
          </cell>
          <cell r="H236" t="str">
            <v>CORREGIMIENTO LAS FLOREZ</v>
          </cell>
          <cell r="J236">
            <v>0</v>
          </cell>
          <cell r="L236" t="str">
            <v>9.2912</v>
          </cell>
          <cell r="M236" t="str">
            <v>-73.9433</v>
          </cell>
        </row>
        <row r="237">
          <cell r="C237">
            <v>300640</v>
          </cell>
          <cell r="D237" t="str">
            <v>CM MANUELITA</v>
          </cell>
          <cell r="E237" t="str">
            <v>S</v>
          </cell>
          <cell r="F237" t="str">
            <v>20570</v>
          </cell>
          <cell r="H237" t="str">
            <v>CL 5 # 6A-71 BARRIO ARIGUANI</v>
          </cell>
          <cell r="J237">
            <v>0</v>
          </cell>
          <cell r="L237" t="str">
            <v>10.415735</v>
          </cell>
          <cell r="M237" t="str">
            <v>-73.590893</v>
          </cell>
        </row>
        <row r="238">
          <cell r="C238">
            <v>300790</v>
          </cell>
          <cell r="D238" t="str">
            <v>CM MODA Y ESTILO</v>
          </cell>
          <cell r="E238" t="str">
            <v>S</v>
          </cell>
          <cell r="F238" t="str">
            <v>20787</v>
          </cell>
          <cell r="H238" t="str">
            <v>CR 7 # 2-13 BARRIO CEREZAL</v>
          </cell>
          <cell r="J238">
            <v>0</v>
          </cell>
          <cell r="L238" t="str">
            <v>8.858869</v>
          </cell>
          <cell r="M238" t="str">
            <v>-73.8173399</v>
          </cell>
        </row>
        <row r="239">
          <cell r="C239">
            <v>300120</v>
          </cell>
          <cell r="D239" t="str">
            <v>CM PROVISIONES JC</v>
          </cell>
          <cell r="E239" t="str">
            <v>S</v>
          </cell>
          <cell r="F239" t="str">
            <v>20060</v>
          </cell>
          <cell r="H239" t="str">
            <v>CR 21 # 11-17 BARRIO EL PARAISO</v>
          </cell>
          <cell r="J239">
            <v>0</v>
          </cell>
          <cell r="L239" t="str">
            <v>9.969486</v>
          </cell>
          <cell r="M239" t="str">
            <v>-73.884894</v>
          </cell>
        </row>
        <row r="240">
          <cell r="C240">
            <v>300553</v>
          </cell>
          <cell r="D240" t="str">
            <v>CM TIENDA LA 14</v>
          </cell>
          <cell r="E240" t="str">
            <v>S</v>
          </cell>
          <cell r="F240" t="str">
            <v>20011</v>
          </cell>
          <cell r="H240" t="str">
            <v>CR 14 # 9-03 BARRIO OLAYA HERRERA</v>
          </cell>
          <cell r="J240">
            <v>0</v>
          </cell>
          <cell r="L240" t="str">
            <v>8.30533016</v>
          </cell>
          <cell r="M240" t="str">
            <v>-73.62007748</v>
          </cell>
        </row>
        <row r="241">
          <cell r="C241">
            <v>301234</v>
          </cell>
          <cell r="D241" t="str">
            <v>CM MARACUCHO</v>
          </cell>
          <cell r="E241" t="str">
            <v>S</v>
          </cell>
          <cell r="F241" t="str">
            <v>20011</v>
          </cell>
          <cell r="H241" t="str">
            <v>CR 30 #7-23 BRR UNIÓN</v>
          </cell>
          <cell r="J241">
            <v>0</v>
          </cell>
          <cell r="L241" t="str">
            <v>8.30767637</v>
          </cell>
          <cell r="M241" t="str">
            <v>-73.60597076</v>
          </cell>
        </row>
        <row r="242">
          <cell r="C242">
            <v>301436</v>
          </cell>
          <cell r="D242" t="str">
            <v xml:space="preserve">CM LEONELA </v>
          </cell>
          <cell r="E242" t="str">
            <v>S</v>
          </cell>
          <cell r="F242" t="str">
            <v>20443</v>
          </cell>
          <cell r="H242" t="str">
            <v>MZ N KS 10 BRR LAS MARIAS</v>
          </cell>
          <cell r="J242">
            <v>0</v>
          </cell>
          <cell r="L242" t="str">
            <v>10.3886483</v>
          </cell>
          <cell r="M242" t="str">
            <v>-73.034296</v>
          </cell>
        </row>
        <row r="243">
          <cell r="C243">
            <v>301480</v>
          </cell>
          <cell r="D243" t="str">
            <v>CM LAS CASITAS</v>
          </cell>
          <cell r="E243" t="str">
            <v>S</v>
          </cell>
          <cell r="F243" t="str">
            <v>20621</v>
          </cell>
          <cell r="H243" t="str">
            <v>CARRET VIA LAS CASITAS KM 8-600</v>
          </cell>
          <cell r="J243">
            <v>0</v>
          </cell>
          <cell r="L243" t="str">
            <v>10.3689</v>
          </cell>
          <cell r="M243" t="str">
            <v>-73.2531</v>
          </cell>
        </row>
        <row r="244">
          <cell r="C244">
            <v>302616</v>
          </cell>
          <cell r="D244" t="str">
            <v>CM BELLA SHELSY</v>
          </cell>
          <cell r="E244" t="str">
            <v>S</v>
          </cell>
          <cell r="F244" t="str">
            <v>20400</v>
          </cell>
          <cell r="H244" t="str">
            <v>CL 1 # 5E-13 BARRIO BELLA SHELDY</v>
          </cell>
          <cell r="J244">
            <v>0</v>
          </cell>
          <cell r="L244" t="str">
            <v>9.55302437</v>
          </cell>
          <cell r="M244" t="str">
            <v>-73.32946257</v>
          </cell>
        </row>
        <row r="245">
          <cell r="C245">
            <v>9046</v>
          </cell>
          <cell r="D245" t="str">
            <v>PDV LA PAZ</v>
          </cell>
          <cell r="E245" t="str">
            <v>S</v>
          </cell>
          <cell r="F245" t="str">
            <v>20621</v>
          </cell>
          <cell r="G245" t="str">
            <v xml:space="preserve">PDV </v>
          </cell>
          <cell r="H245" t="str">
            <v>CR||9|||||#|2||-|121|||</v>
          </cell>
          <cell r="J245">
            <v>120523</v>
          </cell>
          <cell r="L245" t="str">
            <v>10.386522</v>
          </cell>
          <cell r="M245" t="str">
            <v>-73.173148</v>
          </cell>
        </row>
        <row r="246">
          <cell r="C246">
            <v>8727</v>
          </cell>
          <cell r="D246" t="str">
            <v>MANZANARES</v>
          </cell>
          <cell r="E246" t="str">
            <v>S</v>
          </cell>
          <cell r="F246" t="str">
            <v>47001</v>
          </cell>
          <cell r="G246" t="str">
            <v xml:space="preserve">PDV </v>
          </cell>
          <cell r="H246" t="str">
            <v>CL||30|||||#|5||-|8|||</v>
          </cell>
          <cell r="I246" t="str">
            <v>5</v>
          </cell>
          <cell r="J246">
            <v>0</v>
          </cell>
          <cell r="L246" t="str">
            <v>11.232461</v>
          </cell>
          <cell r="M246" t="str">
            <v>-74.209778</v>
          </cell>
        </row>
        <row r="247">
          <cell r="C247">
            <v>8587</v>
          </cell>
          <cell r="D247" t="str">
            <v>CM LA CHIQUI</v>
          </cell>
          <cell r="E247" t="str">
            <v>S</v>
          </cell>
          <cell r="F247" t="str">
            <v>20178</v>
          </cell>
          <cell r="G247" t="str">
            <v xml:space="preserve">CM </v>
          </cell>
          <cell r="H247" t="str">
            <v>CR||9|||||#|1||-|58|||</v>
          </cell>
          <cell r="J247">
            <v>120523</v>
          </cell>
          <cell r="L247" t="str">
            <v>9.3603</v>
          </cell>
          <cell r="M247" t="str">
            <v>-73.5963</v>
          </cell>
        </row>
        <row r="248">
          <cell r="C248">
            <v>13436</v>
          </cell>
          <cell r="D248" t="str">
            <v xml:space="preserve">CM 7 DE JULIO </v>
          </cell>
          <cell r="E248" t="str">
            <v>S</v>
          </cell>
          <cell r="F248" t="str">
            <v>20621</v>
          </cell>
          <cell r="G248" t="str">
            <v xml:space="preserve">CM </v>
          </cell>
          <cell r="H248" t="str">
            <v>TR||5|||||#|4||-|162|||</v>
          </cell>
          <cell r="J248">
            <v>120523</v>
          </cell>
          <cell r="L248" t="str">
            <v>10.392647</v>
          </cell>
          <cell r="M248" t="str">
            <v>-73.170345</v>
          </cell>
        </row>
        <row r="249">
          <cell r="C249">
            <v>13506</v>
          </cell>
          <cell r="D249" t="str">
            <v>CM CAÑAHUATE</v>
          </cell>
          <cell r="E249" t="str">
            <v>S</v>
          </cell>
          <cell r="F249" t="str">
            <v>20250</v>
          </cell>
          <cell r="G249" t="str">
            <v xml:space="preserve">CM </v>
          </cell>
          <cell r="H249" t="str">
            <v>CR||6|||||#|10||-|17|||</v>
          </cell>
          <cell r="J249">
            <v>120523</v>
          </cell>
          <cell r="L249" t="str">
            <v>9.6231</v>
          </cell>
          <cell r="M249" t="str">
            <v>-73.5873</v>
          </cell>
        </row>
        <row r="250">
          <cell r="C250">
            <v>13522</v>
          </cell>
          <cell r="D250" t="str">
            <v>CM DON QUIJOTE</v>
          </cell>
          <cell r="E250" t="str">
            <v>S</v>
          </cell>
          <cell r="F250" t="str">
            <v>20001</v>
          </cell>
          <cell r="G250" t="str">
            <v xml:space="preserve">CM </v>
          </cell>
          <cell r="H250" t="str">
            <v>CL||11|||||#|19|G|-|79|||</v>
          </cell>
          <cell r="J250">
            <v>120523</v>
          </cell>
          <cell r="L250" t="str">
            <v>10.478985</v>
          </cell>
          <cell r="M250" t="str">
            <v>-73.266618</v>
          </cell>
        </row>
        <row r="251">
          <cell r="C251">
            <v>17017</v>
          </cell>
          <cell r="D251" t="str">
            <v xml:space="preserve">PDV PRINCIPAL LA MINA </v>
          </cell>
          <cell r="E251" t="str">
            <v>S</v>
          </cell>
          <cell r="F251" t="str">
            <v>20250</v>
          </cell>
          <cell r="G251" t="str">
            <v xml:space="preserve">PDV </v>
          </cell>
          <cell r="H251" t="str">
            <v>CR||6|||||#|10||-|7|||</v>
          </cell>
          <cell r="J251">
            <v>120523</v>
          </cell>
          <cell r="L251" t="str">
            <v>9.6192</v>
          </cell>
          <cell r="M251" t="str">
            <v>-73.596</v>
          </cell>
        </row>
        <row r="252">
          <cell r="C252">
            <v>17227</v>
          </cell>
          <cell r="D252" t="str">
            <v>CDA BELLA VISTA</v>
          </cell>
          <cell r="E252" t="str">
            <v>S</v>
          </cell>
          <cell r="F252" t="str">
            <v>20001</v>
          </cell>
          <cell r="G252" t="str">
            <v xml:space="preserve">CDA </v>
          </cell>
          <cell r="H252" t="str">
            <v>CL||16|C||||#|35||-|15|||</v>
          </cell>
          <cell r="J252">
            <v>120523</v>
          </cell>
          <cell r="L252" t="str">
            <v>10.4563</v>
          </cell>
          <cell r="M252" t="str">
            <v>-73.2749</v>
          </cell>
        </row>
        <row r="253">
          <cell r="C253">
            <v>18943</v>
          </cell>
          <cell r="D253" t="str">
            <v>CDA SIMON BOLIVAR 7D</v>
          </cell>
          <cell r="E253" t="str">
            <v>S</v>
          </cell>
          <cell r="F253" t="str">
            <v>20001</v>
          </cell>
          <cell r="G253" t="str">
            <v xml:space="preserve">CDA </v>
          </cell>
          <cell r="H253" t="str">
            <v>CR||19|||||#|7|D|-|35|||</v>
          </cell>
          <cell r="J253">
            <v>120523</v>
          </cell>
          <cell r="L253" t="str">
            <v>10.480582</v>
          </cell>
          <cell r="M253" t="str">
            <v>-73.261152</v>
          </cell>
        </row>
        <row r="254">
          <cell r="C254">
            <v>19044</v>
          </cell>
          <cell r="D254" t="str">
            <v>CM LIBERTAD</v>
          </cell>
          <cell r="E254" t="str">
            <v>S</v>
          </cell>
          <cell r="F254" t="str">
            <v>20011</v>
          </cell>
          <cell r="G254" t="str">
            <v xml:space="preserve">CM </v>
          </cell>
          <cell r="H254" t="str">
            <v>CL||13|||||#|7||-|18|||</v>
          </cell>
          <cell r="J254">
            <v>120523</v>
          </cell>
          <cell r="L254" t="str">
            <v>8.297927</v>
          </cell>
          <cell r="M254" t="str">
            <v>-73.626206</v>
          </cell>
        </row>
        <row r="255">
          <cell r="C255">
            <v>20187</v>
          </cell>
          <cell r="D255" t="str">
            <v>PDV ONCE CON 14</v>
          </cell>
          <cell r="E255" t="str">
            <v>S</v>
          </cell>
          <cell r="F255" t="str">
            <v>20001</v>
          </cell>
          <cell r="G255" t="str">
            <v xml:space="preserve">PDV </v>
          </cell>
          <cell r="H255" t="str">
            <v>CL||14|||||#|10||-|40|||</v>
          </cell>
          <cell r="J255">
            <v>120523</v>
          </cell>
          <cell r="L255" t="str">
            <v>10.4765</v>
          </cell>
          <cell r="M255" t="str">
            <v>-73.2498</v>
          </cell>
        </row>
        <row r="256">
          <cell r="C256">
            <v>20325</v>
          </cell>
          <cell r="D256" t="str">
            <v>PDV DIAGONAL 23</v>
          </cell>
          <cell r="E256" t="str">
            <v>S</v>
          </cell>
          <cell r="F256" t="str">
            <v>20001</v>
          </cell>
          <cell r="G256" t="str">
            <v xml:space="preserve">PDV </v>
          </cell>
          <cell r="H256" t="str">
            <v>CL||9|A||||#|21||-|39|||</v>
          </cell>
          <cell r="J256">
            <v>120523</v>
          </cell>
          <cell r="L256" t="str">
            <v>10.474734</v>
          </cell>
          <cell r="M256" t="str">
            <v>-73.269163</v>
          </cell>
        </row>
        <row r="257">
          <cell r="C257">
            <v>17666</v>
          </cell>
          <cell r="D257" t="str">
            <v>PDV BETPLAY PELAYA</v>
          </cell>
          <cell r="E257" t="str">
            <v>S</v>
          </cell>
          <cell r="F257" t="str">
            <v>20550</v>
          </cell>
          <cell r="G257" t="str">
            <v xml:space="preserve">PDV </v>
          </cell>
          <cell r="H257" t="str">
            <v>CL||5|||||#|9||-|67|||</v>
          </cell>
          <cell r="J257">
            <v>120523</v>
          </cell>
          <cell r="L257" t="str">
            <v>8.687974</v>
          </cell>
          <cell r="M257" t="str">
            <v>-73.662866</v>
          </cell>
        </row>
        <row r="258">
          <cell r="C258">
            <v>17554</v>
          </cell>
          <cell r="D258" t="str">
            <v>RECAUDO MOVIL AGUACHICA</v>
          </cell>
          <cell r="E258" t="str">
            <v>S</v>
          </cell>
          <cell r="F258" t="str">
            <v>20011</v>
          </cell>
          <cell r="J258">
            <v>0</v>
          </cell>
        </row>
        <row r="259">
          <cell r="C259">
            <v>20506</v>
          </cell>
          <cell r="D259" t="str">
            <v>RSC RECAUDO MOVIL 3</v>
          </cell>
          <cell r="E259" t="str">
            <v>S</v>
          </cell>
          <cell r="F259" t="str">
            <v>20001</v>
          </cell>
          <cell r="G259" t="str">
            <v xml:space="preserve">AMB </v>
          </cell>
          <cell r="H259" t="str">
            <v>CR||12|||||#|16||-|42|||</v>
          </cell>
          <cell r="J259">
            <v>0</v>
          </cell>
        </row>
        <row r="260">
          <cell r="C260">
            <v>21994</v>
          </cell>
          <cell r="D260" t="str">
            <v>PDV SAN JOAQUIN</v>
          </cell>
          <cell r="E260" t="str">
            <v>S</v>
          </cell>
          <cell r="F260" t="str">
            <v>20001</v>
          </cell>
          <cell r="G260" t="str">
            <v xml:space="preserve">PDV </v>
          </cell>
          <cell r="H260" t="str">
            <v>CR||15|||||#|9||-|45|||</v>
          </cell>
          <cell r="J260">
            <v>120523</v>
          </cell>
          <cell r="L260" t="str">
            <v>10.4807</v>
          </cell>
          <cell r="M260" t="str">
            <v>-73.2583</v>
          </cell>
        </row>
        <row r="261">
          <cell r="C261">
            <v>39790</v>
          </cell>
          <cell r="D261" t="str">
            <v>CM WISTON</v>
          </cell>
          <cell r="E261" t="str">
            <v>S</v>
          </cell>
          <cell r="F261" t="str">
            <v>20517</v>
          </cell>
          <cell r="G261" t="str">
            <v xml:space="preserve">CM </v>
          </cell>
          <cell r="H261" t="str">
            <v>CR||4|||||#|6|A|-|32|||</v>
          </cell>
          <cell r="J261">
            <v>120523</v>
          </cell>
          <cell r="L261" t="str">
            <v>8.966784</v>
          </cell>
          <cell r="M261" t="str">
            <v>-73.620479</v>
          </cell>
        </row>
        <row r="262">
          <cell r="C262">
            <v>40463</v>
          </cell>
          <cell r="D262" t="str">
            <v>CM PANADERIA NICOLL</v>
          </cell>
          <cell r="E262" t="str">
            <v>S</v>
          </cell>
          <cell r="F262" t="str">
            <v>20550</v>
          </cell>
          <cell r="G262" t="str">
            <v xml:space="preserve">CM </v>
          </cell>
          <cell r="H262" t="str">
            <v>CL||7|A||||#|8||-|11|||</v>
          </cell>
          <cell r="J262">
            <v>120523</v>
          </cell>
          <cell r="L262" t="str">
            <v>8.687142</v>
          </cell>
          <cell r="M262" t="str">
            <v>-73.66374</v>
          </cell>
        </row>
        <row r="263">
          <cell r="C263">
            <v>40097</v>
          </cell>
          <cell r="D263" t="str">
            <v>PDV SALOA</v>
          </cell>
          <cell r="E263" t="str">
            <v>S</v>
          </cell>
          <cell r="F263" t="str">
            <v>20175</v>
          </cell>
          <cell r="G263" t="str">
            <v xml:space="preserve">PDV </v>
          </cell>
          <cell r="H263" t="str">
            <v>CL||5|||||#|8||-|6|||</v>
          </cell>
          <cell r="J263">
            <v>120523</v>
          </cell>
          <cell r="L263" t="str">
            <v>9.190179</v>
          </cell>
          <cell r="M263" t="str">
            <v>-73.729174</v>
          </cell>
        </row>
        <row r="264">
          <cell r="C264">
            <v>40098</v>
          </cell>
          <cell r="D264" t="str">
            <v>PDV GUAYMARAL</v>
          </cell>
          <cell r="E264" t="str">
            <v>S</v>
          </cell>
          <cell r="F264" t="str">
            <v>20060</v>
          </cell>
          <cell r="G264" t="str">
            <v xml:space="preserve">PDV </v>
          </cell>
          <cell r="H264" t="str">
            <v>CL||4|||||#|4||-|41|||</v>
          </cell>
          <cell r="J264">
            <v>120523</v>
          </cell>
          <cell r="L264" t="str">
            <v>9.904183</v>
          </cell>
          <cell r="M264" t="str">
            <v>-73.646245</v>
          </cell>
        </row>
        <row r="265">
          <cell r="C265">
            <v>40586</v>
          </cell>
          <cell r="D265" t="str">
            <v xml:space="preserve">PDV COMFACESAR LA LOMA </v>
          </cell>
          <cell r="E265" t="str">
            <v>S</v>
          </cell>
          <cell r="F265" t="str">
            <v>20250</v>
          </cell>
          <cell r="G265" t="str">
            <v xml:space="preserve">PDV </v>
          </cell>
          <cell r="H265" t="str">
            <v>CL||10|||||#|9||-|37|||</v>
          </cell>
          <cell r="J265">
            <v>120523</v>
          </cell>
          <cell r="L265" t="str">
            <v>9.6213</v>
          </cell>
          <cell r="M265" t="str">
            <v>-73.5915</v>
          </cell>
        </row>
        <row r="266">
          <cell r="C266">
            <v>41055</v>
          </cell>
          <cell r="D266" t="str">
            <v>CM LAS DAMAS</v>
          </cell>
          <cell r="E266" t="str">
            <v>S</v>
          </cell>
          <cell r="F266" t="str">
            <v>20250</v>
          </cell>
          <cell r="G266" t="str">
            <v xml:space="preserve">CM </v>
          </cell>
          <cell r="H266" t="str">
            <v>CL||3|A||||#|8 BIS||-|41|||</v>
          </cell>
          <cell r="J266">
            <v>120523</v>
          </cell>
          <cell r="L266" t="str">
            <v>9.6621</v>
          </cell>
          <cell r="M266" t="str">
            <v>-73.7444</v>
          </cell>
        </row>
        <row r="267">
          <cell r="C267">
            <v>43562</v>
          </cell>
          <cell r="D267" t="str">
            <v>PDV BUTURAMA</v>
          </cell>
          <cell r="E267" t="str">
            <v>S</v>
          </cell>
          <cell r="F267" t="str">
            <v>20011</v>
          </cell>
          <cell r="H267" t="str">
            <v>CR||15|||||#|15||-|153|||</v>
          </cell>
          <cell r="J267">
            <v>0</v>
          </cell>
          <cell r="L267" t="str">
            <v>8.297821</v>
          </cell>
          <cell r="M267" t="str">
            <v>-73.616516</v>
          </cell>
        </row>
        <row r="268">
          <cell r="C268">
            <v>44817</v>
          </cell>
          <cell r="D268" t="str">
            <v xml:space="preserve">AMBULANTE TIGO SAN ROQUE </v>
          </cell>
          <cell r="E268" t="str">
            <v>S</v>
          </cell>
          <cell r="F268" t="str">
            <v>20228</v>
          </cell>
          <cell r="H268" t="str">
            <v>CL||8|||||#|14||-|33|||</v>
          </cell>
          <cell r="J268">
            <v>120523</v>
          </cell>
          <cell r="L268" t="str">
            <v>9.288</v>
          </cell>
          <cell r="M268" t="str">
            <v>-73.51113</v>
          </cell>
        </row>
        <row r="269">
          <cell r="C269">
            <v>44869</v>
          </cell>
          <cell r="D269" t="str">
            <v xml:space="preserve">PDV DROGUERIA + VERDE </v>
          </cell>
          <cell r="E269" t="str">
            <v>S</v>
          </cell>
          <cell r="F269" t="str">
            <v>20001</v>
          </cell>
          <cell r="H269" t="str">
            <v>CL||16|||||#|19|E|-|27|||</v>
          </cell>
          <cell r="J269">
            <v>120523</v>
          </cell>
          <cell r="L269" t="str">
            <v>10.466647</v>
          </cell>
          <cell r="M269" t="str">
            <v>-73.2619714</v>
          </cell>
        </row>
        <row r="270">
          <cell r="C270">
            <v>45155</v>
          </cell>
          <cell r="D270" t="str">
            <v>PDV LAS FLORES</v>
          </cell>
          <cell r="E270" t="str">
            <v>S</v>
          </cell>
          <cell r="F270" t="str">
            <v>20178</v>
          </cell>
          <cell r="H270" t="str">
            <v>CL||8|||||#|3||-|4|||</v>
          </cell>
          <cell r="J270">
            <v>120523</v>
          </cell>
          <cell r="L270" t="str">
            <v>9.3646</v>
          </cell>
          <cell r="M270" t="str">
            <v>-73.6052</v>
          </cell>
        </row>
        <row r="271">
          <cell r="C271">
            <v>46260</v>
          </cell>
          <cell r="D271" t="str">
            <v>CM JIREH</v>
          </cell>
          <cell r="E271" t="str">
            <v>S</v>
          </cell>
          <cell r="F271" t="str">
            <v>20001</v>
          </cell>
          <cell r="H271" t="str">
            <v>OT||||||||||||||MZ C - CASA 5 BARRIO HERISIN</v>
          </cell>
          <cell r="J271">
            <v>260523</v>
          </cell>
          <cell r="L271" t="str">
            <v>10.45138729</v>
          </cell>
          <cell r="M271" t="str">
            <v>-73.2840165</v>
          </cell>
        </row>
        <row r="272">
          <cell r="C272">
            <v>46175</v>
          </cell>
          <cell r="D272" t="str">
            <v>PDV VILLA FANNY</v>
          </cell>
          <cell r="E272" t="str">
            <v>S</v>
          </cell>
          <cell r="F272" t="str">
            <v>20750</v>
          </cell>
          <cell r="H272" t="str">
            <v>CL||2|||||#|4||-|16|||</v>
          </cell>
          <cell r="J272">
            <v>260523</v>
          </cell>
          <cell r="L272" t="str">
            <v>7.76156</v>
          </cell>
          <cell r="M272" t="str">
            <v>-73.39234</v>
          </cell>
        </row>
        <row r="273">
          <cell r="C273">
            <v>46243</v>
          </cell>
          <cell r="D273" t="str">
            <v>CM OLIMPICA LA 9NA</v>
          </cell>
          <cell r="E273" t="str">
            <v>S</v>
          </cell>
          <cell r="F273" t="str">
            <v>20001</v>
          </cell>
          <cell r="H273" t="str">
            <v>CR||9|||||#|13|C|-|80|||</v>
          </cell>
          <cell r="J273">
            <v>260523</v>
          </cell>
          <cell r="L273" t="str">
            <v>10.477</v>
          </cell>
          <cell r="M273" t="str">
            <v>-73.2487</v>
          </cell>
        </row>
        <row r="274">
          <cell r="C274">
            <v>47921</v>
          </cell>
          <cell r="D274" t="str">
            <v>CM NUEVA COLOMBIA</v>
          </cell>
          <cell r="E274" t="str">
            <v>S</v>
          </cell>
          <cell r="F274" t="str">
            <v>20011</v>
          </cell>
          <cell r="H274" t="str">
            <v>CR 47 # 8N-24 BARRIO NUEVA COLOMBIA</v>
          </cell>
          <cell r="J274">
            <v>0</v>
          </cell>
          <cell r="L274" t="str">
            <v>8.31912039</v>
          </cell>
          <cell r="M274" t="str">
            <v>-73.59141701</v>
          </cell>
        </row>
        <row r="275">
          <cell r="C275">
            <v>47950</v>
          </cell>
          <cell r="D275" t="str">
            <v xml:space="preserve">CM DEBANNIS 1 </v>
          </cell>
          <cell r="E275" t="str">
            <v>S</v>
          </cell>
          <cell r="F275" t="str">
            <v>20045</v>
          </cell>
          <cell r="H275" t="str">
            <v>CR 29 # 5-39 BARRIO MOCHILANGA</v>
          </cell>
          <cell r="J275">
            <v>0</v>
          </cell>
          <cell r="L275" t="str">
            <v>9.70369</v>
          </cell>
          <cell r="M275" t="str">
            <v>-73.26684</v>
          </cell>
        </row>
        <row r="276">
          <cell r="C276">
            <v>47768</v>
          </cell>
          <cell r="D276" t="str">
            <v>CM VARIEDADES S Y L</v>
          </cell>
          <cell r="E276" t="str">
            <v>S</v>
          </cell>
          <cell r="F276" t="str">
            <v>20228</v>
          </cell>
          <cell r="H276" t="str">
            <v>CR 17-5 SUR BARRIO BUENOS AIRS</v>
          </cell>
          <cell r="J276">
            <v>0</v>
          </cell>
          <cell r="L276" t="str">
            <v>9.192592</v>
          </cell>
          <cell r="M276" t="str">
            <v>-73.547003</v>
          </cell>
        </row>
        <row r="277">
          <cell r="C277">
            <v>250088</v>
          </cell>
          <cell r="D277" t="str">
            <v>CM FRUVER</v>
          </cell>
          <cell r="E277" t="str">
            <v>S</v>
          </cell>
          <cell r="F277" t="str">
            <v>20013</v>
          </cell>
          <cell r="H277" t="str">
            <v>CR 17 # 23-21 MERCADO</v>
          </cell>
          <cell r="J277">
            <v>0</v>
          </cell>
          <cell r="L277" t="str">
            <v>10.03914</v>
          </cell>
          <cell r="M277" t="str">
            <v>-73.23790</v>
          </cell>
        </row>
        <row r="278">
          <cell r="C278">
            <v>44524</v>
          </cell>
          <cell r="D278" t="str">
            <v xml:space="preserve">CM DROGUERIA EL PARAMO </v>
          </cell>
          <cell r="E278" t="str">
            <v>S</v>
          </cell>
          <cell r="F278" t="str">
            <v>20001</v>
          </cell>
          <cell r="H278" t="str">
            <v xml:space="preserve">OT||||||||||||||MZ 7 CASA 1 </v>
          </cell>
          <cell r="J278">
            <v>120523</v>
          </cell>
          <cell r="L278" t="str">
            <v>10.431502</v>
          </cell>
          <cell r="M278" t="str">
            <v>-73.252919</v>
          </cell>
        </row>
        <row r="279">
          <cell r="C279">
            <v>43585</v>
          </cell>
          <cell r="D279" t="str">
            <v xml:space="preserve">CM KALIPSO </v>
          </cell>
          <cell r="E279" t="str">
            <v>S</v>
          </cell>
          <cell r="F279" t="str">
            <v>20001</v>
          </cell>
          <cell r="H279" t="str">
            <v>CL||44|||||#|25|B|-|5|||</v>
          </cell>
          <cell r="J279">
            <v>120523</v>
          </cell>
          <cell r="L279" t="str">
            <v>10.445966</v>
          </cell>
          <cell r="M279" t="str">
            <v>-73.253646</v>
          </cell>
        </row>
        <row r="280">
          <cell r="C280">
            <v>47069</v>
          </cell>
          <cell r="D280" t="str">
            <v>AMBULANTE PUEBLO BELLO</v>
          </cell>
          <cell r="E280" t="str">
            <v>S</v>
          </cell>
          <cell r="F280" t="str">
            <v>20570</v>
          </cell>
          <cell r="H280" t="str">
            <v>CL||9|||||#|4||-|169|||</v>
          </cell>
          <cell r="J280">
            <v>0</v>
          </cell>
          <cell r="L280" t="str">
            <v>10.412562</v>
          </cell>
          <cell r="M280" t="str">
            <v>-73.590992</v>
          </cell>
        </row>
        <row r="281">
          <cell r="C281">
            <v>47907</v>
          </cell>
          <cell r="D281" t="str">
            <v>CM LISKAT</v>
          </cell>
          <cell r="E281" t="str">
            <v>S</v>
          </cell>
          <cell r="F281" t="str">
            <v>20383</v>
          </cell>
          <cell r="H281" t="str">
            <v>CL 10 # 4-33 BARRIO 11 DE NOVIEMBRE</v>
          </cell>
          <cell r="J281">
            <v>0</v>
          </cell>
          <cell r="L281" t="str">
            <v>8.6209</v>
          </cell>
          <cell r="M281" t="str">
            <v>-73.8006</v>
          </cell>
        </row>
        <row r="282">
          <cell r="C282">
            <v>44463</v>
          </cell>
          <cell r="D282" t="str">
            <v xml:space="preserve">TAT DAVIANIS </v>
          </cell>
          <cell r="E282" t="str">
            <v>S</v>
          </cell>
          <cell r="F282" t="str">
            <v>20001</v>
          </cell>
          <cell r="H282" t="str">
            <v xml:space="preserve">OT||||||||||||||CASA 8  ALTOS  PIMIENTA </v>
          </cell>
          <cell r="J282">
            <v>120523</v>
          </cell>
          <cell r="L282" t="str">
            <v>10.47312</v>
          </cell>
          <cell r="M282" t="str">
            <v>-73.2923902</v>
          </cell>
        </row>
        <row r="283">
          <cell r="C283">
            <v>44620</v>
          </cell>
          <cell r="D283" t="str">
            <v xml:space="preserve">CM DIOS CON NOSOTROS </v>
          </cell>
          <cell r="E283" t="str">
            <v>S</v>
          </cell>
          <cell r="F283" t="str">
            <v>20013</v>
          </cell>
          <cell r="H283" t="str">
            <v>CL||20|||||#|29||-|14|||</v>
          </cell>
          <cell r="J283">
            <v>120523</v>
          </cell>
          <cell r="L283" t="str">
            <v>10.03656</v>
          </cell>
          <cell r="M283" t="str">
            <v>-73.24411</v>
          </cell>
        </row>
        <row r="284">
          <cell r="C284">
            <v>45108</v>
          </cell>
          <cell r="D284" t="str">
            <v>CM CRISTO VIVE MY</v>
          </cell>
          <cell r="E284" t="str">
            <v>S</v>
          </cell>
          <cell r="F284" t="str">
            <v>20001</v>
          </cell>
          <cell r="H284" t="str">
            <v>OT||||||||||||||MZ  A CASA 20</v>
          </cell>
          <cell r="J284">
            <v>120523</v>
          </cell>
          <cell r="L284" t="str">
            <v>10.451155</v>
          </cell>
          <cell r="M284" t="str">
            <v>-73.279108</v>
          </cell>
        </row>
        <row r="285">
          <cell r="C285">
            <v>45363</v>
          </cell>
          <cell r="D285" t="str">
            <v>PDV LOS HALCONES</v>
          </cell>
          <cell r="E285" t="str">
            <v>S</v>
          </cell>
          <cell r="F285" t="str">
            <v>20011</v>
          </cell>
          <cell r="H285" t="str">
            <v>CR||4|||||#|8||-|3|||</v>
          </cell>
          <cell r="J285">
            <v>120523</v>
          </cell>
          <cell r="L285" t="str">
            <v>8.305722</v>
          </cell>
          <cell r="M285" t="str">
            <v>-73.630923</v>
          </cell>
        </row>
        <row r="286">
          <cell r="C286">
            <v>47047</v>
          </cell>
          <cell r="D286" t="str">
            <v xml:space="preserve">AMBULANTE PAILITAS </v>
          </cell>
          <cell r="E286" t="str">
            <v>S</v>
          </cell>
          <cell r="F286" t="str">
            <v>20517</v>
          </cell>
          <cell r="H286" t="str">
            <v>CR||6|||||#|5||-|67|||</v>
          </cell>
          <cell r="J286">
            <v>0</v>
          </cell>
          <cell r="L286" t="str">
            <v>8.95657</v>
          </cell>
          <cell r="M286" t="str">
            <v>-73.6241</v>
          </cell>
        </row>
        <row r="287">
          <cell r="C287">
            <v>47051</v>
          </cell>
          <cell r="D287" t="str">
            <v>AMBULANTE SAN MARTIN</v>
          </cell>
          <cell r="E287" t="str">
            <v>S</v>
          </cell>
          <cell r="F287" t="str">
            <v>20770</v>
          </cell>
          <cell r="J287">
            <v>0</v>
          </cell>
          <cell r="L287" t="str">
            <v>8.00211</v>
          </cell>
          <cell r="M287" t="str">
            <v>-73.51164</v>
          </cell>
        </row>
        <row r="288">
          <cell r="C288">
            <v>47119</v>
          </cell>
          <cell r="D288" t="str">
            <v>AMBULANTE BECERRIL MOVISTAR</v>
          </cell>
          <cell r="E288" t="str">
            <v>S</v>
          </cell>
          <cell r="F288" t="str">
            <v>20045</v>
          </cell>
          <cell r="H288" t="str">
            <v>CL 9 # 3-77</v>
          </cell>
          <cell r="J288">
            <v>0</v>
          </cell>
          <cell r="L288" t="str">
            <v>9.70359</v>
          </cell>
          <cell r="M288" t="str">
            <v>-73.28087</v>
          </cell>
        </row>
        <row r="289">
          <cell r="C289">
            <v>47492</v>
          </cell>
          <cell r="D289" t="str">
            <v>CM MISCELANEA BETEL</v>
          </cell>
          <cell r="E289" t="str">
            <v>S</v>
          </cell>
          <cell r="F289" t="str">
            <v>20013</v>
          </cell>
          <cell r="H289" t="str">
            <v>SECT 1 MZ 3-6 URB DENIS JOSETA</v>
          </cell>
          <cell r="J289">
            <v>0</v>
          </cell>
          <cell r="L289" t="str">
            <v>10.026938</v>
          </cell>
          <cell r="M289" t="str">
            <v>-73.235835</v>
          </cell>
        </row>
        <row r="290">
          <cell r="C290">
            <v>250003</v>
          </cell>
          <cell r="D290" t="str">
            <v>CM KARLA 1</v>
          </cell>
          <cell r="E290" t="str">
            <v>S</v>
          </cell>
          <cell r="F290" t="str">
            <v>20001</v>
          </cell>
          <cell r="H290" t="str">
            <v>CR 29 # 17A-37 APT 2 BARRIO ENRIQUE PUPO</v>
          </cell>
          <cell r="J290">
            <v>0</v>
          </cell>
          <cell r="L290" t="str">
            <v>10.455593</v>
          </cell>
          <cell r="M290" t="str">
            <v>-73.267678</v>
          </cell>
        </row>
        <row r="291">
          <cell r="C291">
            <v>44848</v>
          </cell>
          <cell r="D291" t="str">
            <v xml:space="preserve">PDV GALERIA </v>
          </cell>
          <cell r="E291" t="str">
            <v>S</v>
          </cell>
          <cell r="F291" t="str">
            <v>20400</v>
          </cell>
          <cell r="H291" t="str">
            <v>CL||8|||||#|6||-|22|||</v>
          </cell>
          <cell r="J291">
            <v>120523</v>
          </cell>
          <cell r="L291" t="str">
            <v>9.5634</v>
          </cell>
          <cell r="M291" t="str">
            <v>-73.3365</v>
          </cell>
        </row>
        <row r="292">
          <cell r="C292">
            <v>45305</v>
          </cell>
          <cell r="D292" t="str">
            <v xml:space="preserve">CM FATIMA </v>
          </cell>
          <cell r="E292" t="str">
            <v>S</v>
          </cell>
          <cell r="F292" t="str">
            <v>20295</v>
          </cell>
          <cell r="H292" t="str">
            <v>CR||7|||||#|4||-|2|||</v>
          </cell>
          <cell r="J292">
            <v>120523</v>
          </cell>
          <cell r="L292" t="str">
            <v>8.319003</v>
          </cell>
          <cell r="M292" t="str">
            <v>-73.743445</v>
          </cell>
        </row>
        <row r="293">
          <cell r="C293">
            <v>45389</v>
          </cell>
          <cell r="D293" t="str">
            <v>CDA NUEVO BOSCONIA</v>
          </cell>
          <cell r="E293" t="str">
            <v>S</v>
          </cell>
          <cell r="F293" t="str">
            <v>20238</v>
          </cell>
          <cell r="H293" t="str">
            <v>CL||18|||||#|19||-|65|||</v>
          </cell>
          <cell r="J293">
            <v>120523</v>
          </cell>
          <cell r="L293" t="str">
            <v>9.9719</v>
          </cell>
          <cell r="M293" t="str">
            <v>-73.8882</v>
          </cell>
        </row>
        <row r="294">
          <cell r="C294">
            <v>45409</v>
          </cell>
          <cell r="D294" t="str">
            <v xml:space="preserve">PDV FLORES </v>
          </cell>
          <cell r="E294" t="str">
            <v>S</v>
          </cell>
          <cell r="F294" t="str">
            <v>20750</v>
          </cell>
          <cell r="H294" t="str">
            <v>CL||3|||||#|7||-|11|||</v>
          </cell>
          <cell r="J294">
            <v>120523</v>
          </cell>
          <cell r="L294" t="str">
            <v>10.3357</v>
          </cell>
          <cell r="M294" t="str">
            <v>-73.1802</v>
          </cell>
        </row>
        <row r="295">
          <cell r="C295">
            <v>46837</v>
          </cell>
          <cell r="D295" t="str">
            <v>CM FARMANORTE 217</v>
          </cell>
          <cell r="E295" t="str">
            <v>S</v>
          </cell>
          <cell r="F295" t="str">
            <v>20001</v>
          </cell>
          <cell r="H295" t="str">
            <v>CR 41 # 5G-30 ZONA NEVADA</v>
          </cell>
          <cell r="J295">
            <v>0</v>
          </cell>
          <cell r="L295" t="str">
            <v>10.478029</v>
          </cell>
          <cell r="M295" t="str">
            <v>-73.281501</v>
          </cell>
        </row>
        <row r="296">
          <cell r="C296">
            <v>47039</v>
          </cell>
          <cell r="D296" t="str">
            <v>AMBULANTE SAN DIEGO</v>
          </cell>
          <cell r="E296" t="str">
            <v>S</v>
          </cell>
          <cell r="F296" t="str">
            <v>20750</v>
          </cell>
          <cell r="J296">
            <v>0</v>
          </cell>
          <cell r="L296" t="str">
            <v>10.335776</v>
          </cell>
          <cell r="M296" t="str">
            <v>-73.178657</v>
          </cell>
        </row>
        <row r="297">
          <cell r="C297">
            <v>47090</v>
          </cell>
          <cell r="D297" t="str">
            <v>AMBULANTE CURUMANI CLARO</v>
          </cell>
          <cell r="E297" t="str">
            <v>S</v>
          </cell>
          <cell r="F297" t="str">
            <v>20228</v>
          </cell>
          <cell r="H297" t="str">
            <v>CL 8 # 14-33</v>
          </cell>
          <cell r="J297">
            <v>0</v>
          </cell>
          <cell r="L297" t="str">
            <v>9.199663</v>
          </cell>
          <cell r="M297" t="str">
            <v>-73.543478</v>
          </cell>
        </row>
        <row r="298">
          <cell r="C298">
            <v>47097</v>
          </cell>
          <cell r="D298" t="str">
            <v>AMBULANTE SAN DIEGO TIGO</v>
          </cell>
          <cell r="E298" t="str">
            <v>S</v>
          </cell>
          <cell r="F298" t="str">
            <v>20750</v>
          </cell>
          <cell r="J298">
            <v>0</v>
          </cell>
          <cell r="L298" t="str">
            <v>10.335776</v>
          </cell>
          <cell r="M298" t="str">
            <v>-73.178657</v>
          </cell>
        </row>
        <row r="299">
          <cell r="C299">
            <v>47636</v>
          </cell>
          <cell r="D299" t="str">
            <v>CHIMICHAGUA COLOMBIA MAYOR</v>
          </cell>
          <cell r="E299" t="str">
            <v>S</v>
          </cell>
          <cell r="F299" t="str">
            <v>20175</v>
          </cell>
          <cell r="H299" t="str">
            <v>MOVIL</v>
          </cell>
          <cell r="J299">
            <v>0</v>
          </cell>
        </row>
        <row r="300">
          <cell r="C300">
            <v>47637</v>
          </cell>
          <cell r="D300" t="str">
            <v>CURUMANI COLOMBIA MAYOR</v>
          </cell>
          <cell r="E300" t="str">
            <v>S</v>
          </cell>
          <cell r="F300" t="str">
            <v>20228</v>
          </cell>
          <cell r="H300" t="str">
            <v>MOVIL</v>
          </cell>
          <cell r="J300">
            <v>0</v>
          </cell>
        </row>
        <row r="301">
          <cell r="C301">
            <v>47639</v>
          </cell>
          <cell r="D301" t="str">
            <v>CHIRIGUANA COLOMBIA MAYOR</v>
          </cell>
          <cell r="E301" t="str">
            <v>S</v>
          </cell>
          <cell r="F301" t="str">
            <v>20178</v>
          </cell>
          <cell r="H301" t="str">
            <v>MOVIL</v>
          </cell>
          <cell r="J301">
            <v>0</v>
          </cell>
        </row>
        <row r="302">
          <cell r="C302">
            <v>47646</v>
          </cell>
          <cell r="D302" t="str">
            <v>SAN DIEGO COLOMBIA MAYOR</v>
          </cell>
          <cell r="E302" t="str">
            <v>S</v>
          </cell>
          <cell r="F302" t="str">
            <v>20750</v>
          </cell>
          <cell r="H302" t="str">
            <v>MOVIL</v>
          </cell>
          <cell r="J302">
            <v>0</v>
          </cell>
        </row>
        <row r="303">
          <cell r="C303">
            <v>47655</v>
          </cell>
          <cell r="D303" t="str">
            <v>RIO DE ORO COLOMBIA MAYOR</v>
          </cell>
          <cell r="E303" t="str">
            <v>S</v>
          </cell>
          <cell r="F303" t="str">
            <v>20614</v>
          </cell>
          <cell r="H303" t="str">
            <v>MOVIL</v>
          </cell>
          <cell r="J303">
            <v>0</v>
          </cell>
        </row>
        <row r="304">
          <cell r="C304">
            <v>300292</v>
          </cell>
          <cell r="D304" t="str">
            <v>CM POLICARPA</v>
          </cell>
          <cell r="E304" t="str">
            <v>S</v>
          </cell>
          <cell r="F304" t="str">
            <v>20013</v>
          </cell>
          <cell r="H304" t="str">
            <v>DG 3 CR 8B CASA 30 BARRIO VILLACARMEN</v>
          </cell>
          <cell r="J304">
            <v>0</v>
          </cell>
          <cell r="L304" t="str">
            <v>10.044119</v>
          </cell>
          <cell r="M304" t="str">
            <v>-73.227692</v>
          </cell>
        </row>
        <row r="305">
          <cell r="C305">
            <v>300889</v>
          </cell>
          <cell r="D305" t="str">
            <v>CM ARBOLEDA J</v>
          </cell>
          <cell r="E305" t="str">
            <v>S</v>
          </cell>
          <cell r="F305" t="str">
            <v>20011</v>
          </cell>
          <cell r="H305" t="str">
            <v>MZ J CASA 20 URB ARBOLEDAS DE ALVEQUIN.</v>
          </cell>
          <cell r="J305">
            <v>0</v>
          </cell>
          <cell r="L305" t="str">
            <v>8.29104173</v>
          </cell>
          <cell r="M305" t="str">
            <v>-73.6202563</v>
          </cell>
        </row>
        <row r="306">
          <cell r="C306">
            <v>302260</v>
          </cell>
          <cell r="D306" t="str">
            <v>CM LA 21</v>
          </cell>
          <cell r="E306" t="str">
            <v>S</v>
          </cell>
          <cell r="F306" t="str">
            <v>20175</v>
          </cell>
          <cell r="H306" t="str">
            <v>CL 21 # 9-55 BARRIO POLIDEPORTIVO</v>
          </cell>
          <cell r="J306">
            <v>0</v>
          </cell>
          <cell r="L306" t="str">
            <v>9.2637</v>
          </cell>
          <cell r="M306" t="str">
            <v>-73.8108</v>
          </cell>
        </row>
        <row r="307">
          <cell r="C307">
            <v>300628</v>
          </cell>
          <cell r="D307" t="str">
            <v>CM ANA LU</v>
          </cell>
          <cell r="E307" t="str">
            <v>S</v>
          </cell>
          <cell r="F307" t="str">
            <v>20011</v>
          </cell>
          <cell r="H307" t="str">
            <v xml:space="preserve">CR 39B 6N-16 </v>
          </cell>
          <cell r="J307">
            <v>0</v>
          </cell>
          <cell r="L307" t="str">
            <v>8.31793</v>
          </cell>
          <cell r="M307" t="str">
            <v>-73.59703</v>
          </cell>
        </row>
        <row r="308">
          <cell r="C308">
            <v>302508</v>
          </cell>
          <cell r="D308" t="str">
            <v>CM FERROAGRO</v>
          </cell>
          <cell r="E308" t="str">
            <v>S</v>
          </cell>
          <cell r="F308" t="str">
            <v>20238</v>
          </cell>
          <cell r="H308" t="str">
            <v>CR 2 CL 5-11 BARRIO CHIMILA</v>
          </cell>
          <cell r="J308">
            <v>0</v>
          </cell>
          <cell r="L308" t="str">
            <v>10.32837059</v>
          </cell>
          <cell r="M308" t="str">
            <v>-73.84791081</v>
          </cell>
        </row>
        <row r="309">
          <cell r="C309">
            <v>302566</v>
          </cell>
          <cell r="D309" t="str">
            <v>CM DANIELA</v>
          </cell>
          <cell r="E309" t="str">
            <v>S</v>
          </cell>
          <cell r="F309" t="str">
            <v>20013</v>
          </cell>
          <cell r="H309" t="str">
            <v>CL 23A # 30--172 BARRIO CAMILO TORRES</v>
          </cell>
          <cell r="J309">
            <v>0</v>
          </cell>
          <cell r="L309" t="str">
            <v>10.03853956</v>
          </cell>
          <cell r="M309" t="str">
            <v>-73.24593304</v>
          </cell>
        </row>
        <row r="310">
          <cell r="C310">
            <v>300110</v>
          </cell>
          <cell r="D310" t="str">
            <v>CM EL CARMEN</v>
          </cell>
          <cell r="E310" t="str">
            <v>S</v>
          </cell>
          <cell r="F310" t="str">
            <v>20178</v>
          </cell>
          <cell r="H310" t="str">
            <v>CR 9 # 3-21 BARRIO EL CARMEN</v>
          </cell>
          <cell r="J310">
            <v>0</v>
          </cell>
          <cell r="L310" t="str">
            <v>9.3602780</v>
          </cell>
          <cell r="M310" t="str">
            <v>-73.596312</v>
          </cell>
        </row>
        <row r="311">
          <cell r="C311">
            <v>300105</v>
          </cell>
          <cell r="D311" t="str">
            <v>CM DETALLES YAIKA</v>
          </cell>
          <cell r="E311" t="str">
            <v>S</v>
          </cell>
          <cell r="F311" t="str">
            <v>20001</v>
          </cell>
          <cell r="H311" t="str">
            <v>CL 20E # 3-56 BARRIO VILLA CASTRO</v>
          </cell>
          <cell r="J311">
            <v>0</v>
          </cell>
          <cell r="L311" t="str">
            <v>10.468464</v>
          </cell>
          <cell r="M311" t="str">
            <v>-73.234558</v>
          </cell>
        </row>
        <row r="312">
          <cell r="C312">
            <v>301197</v>
          </cell>
          <cell r="D312" t="str">
            <v xml:space="preserve">CM JP </v>
          </cell>
          <cell r="E312" t="str">
            <v>S</v>
          </cell>
          <cell r="F312" t="str">
            <v>20400</v>
          </cell>
          <cell r="H312" t="str">
            <v xml:space="preserve">KR 9 #1C-30 BRR TOSCANO BAJO </v>
          </cell>
          <cell r="J312">
            <v>0</v>
          </cell>
          <cell r="L312" t="str">
            <v>9.55912</v>
          </cell>
          <cell r="M312" t="str">
            <v>-73.33889</v>
          </cell>
        </row>
        <row r="313">
          <cell r="C313">
            <v>302543</v>
          </cell>
          <cell r="D313" t="str">
            <v>CM GONZALO</v>
          </cell>
          <cell r="E313" t="str">
            <v>S</v>
          </cell>
          <cell r="F313" t="str">
            <v>20045</v>
          </cell>
          <cell r="H313" t="str">
            <v>CR 8 CL 7-40 CENTRO</v>
          </cell>
          <cell r="J313">
            <v>0</v>
          </cell>
          <cell r="L313" t="str">
            <v>9.70388</v>
          </cell>
          <cell r="M313" t="str">
            <v>-73.27820</v>
          </cell>
        </row>
        <row r="314">
          <cell r="C314">
            <v>301604</v>
          </cell>
          <cell r="D314" t="str">
            <v>PDV SECRETARIA DE HACIENDA</v>
          </cell>
          <cell r="E314" t="str">
            <v>S</v>
          </cell>
          <cell r="F314" t="str">
            <v>20001</v>
          </cell>
          <cell r="H314" t="str">
            <v>CR 5 # 14-81 PLAZA ALFONSO LOPEZ</v>
          </cell>
          <cell r="J314">
            <v>0</v>
          </cell>
          <cell r="L314" t="str">
            <v>10.4785</v>
          </cell>
          <cell r="M314" t="str">
            <v>-73.2447</v>
          </cell>
        </row>
        <row r="315">
          <cell r="C315">
            <v>302196</v>
          </cell>
          <cell r="D315" t="str">
            <v>CM GISEL</v>
          </cell>
          <cell r="E315" t="str">
            <v>S</v>
          </cell>
          <cell r="F315" t="str">
            <v>20175</v>
          </cell>
          <cell r="H315" t="str">
            <v>CL 16 # 10-71 BARRIO EL CARMEN</v>
          </cell>
          <cell r="J315">
            <v>0</v>
          </cell>
          <cell r="L315" t="str">
            <v>9.2627</v>
          </cell>
          <cell r="M315" t="str">
            <v>73.8136</v>
          </cell>
        </row>
        <row r="316">
          <cell r="C316">
            <v>7023</v>
          </cell>
          <cell r="D316" t="str">
            <v>AMBULANTE TIGO GAMARRA</v>
          </cell>
          <cell r="E316" t="str">
            <v>S</v>
          </cell>
          <cell r="F316" t="str">
            <v>20295</v>
          </cell>
          <cell r="G316" t="str">
            <v>AMB</v>
          </cell>
          <cell r="H316" t="str">
            <v>CL||7|||||#|7||-|40|||</v>
          </cell>
          <cell r="J316">
            <v>0</v>
          </cell>
          <cell r="L316" t="str">
            <v>8.32344</v>
          </cell>
          <cell r="M316" t="str">
            <v>-73.74112</v>
          </cell>
        </row>
        <row r="317">
          <cell r="C317">
            <v>7024</v>
          </cell>
          <cell r="D317" t="str">
            <v>AMBULANTE MOVISTAR GAMARRA</v>
          </cell>
          <cell r="E317" t="str">
            <v>S</v>
          </cell>
          <cell r="F317" t="str">
            <v>20295</v>
          </cell>
          <cell r="G317" t="str">
            <v xml:space="preserve">AMB </v>
          </cell>
          <cell r="H317" t="str">
            <v>CL||7|||||#|7||-|40|||</v>
          </cell>
          <cell r="J317">
            <v>0</v>
          </cell>
          <cell r="L317" t="str">
            <v>8.32344</v>
          </cell>
          <cell r="M317" t="str">
            <v>-73.74112</v>
          </cell>
        </row>
        <row r="318">
          <cell r="C318">
            <v>7025</v>
          </cell>
          <cell r="D318" t="str">
            <v>AMBULANTE CLARO GAMARRA</v>
          </cell>
          <cell r="E318" t="str">
            <v>S</v>
          </cell>
          <cell r="F318" t="str">
            <v>20295</v>
          </cell>
          <cell r="G318" t="str">
            <v xml:space="preserve">AMB </v>
          </cell>
          <cell r="H318" t="str">
            <v>CL||7|||||#|7||-|40|||</v>
          </cell>
          <cell r="J318">
            <v>0</v>
          </cell>
          <cell r="L318" t="str">
            <v>8.32316</v>
          </cell>
          <cell r="M318" t="str">
            <v>-73.74108</v>
          </cell>
        </row>
        <row r="319">
          <cell r="C319">
            <v>7084</v>
          </cell>
          <cell r="D319" t="str">
            <v>AMBULANTE MOVISTAR CHIMICHAGUA</v>
          </cell>
          <cell r="E319" t="str">
            <v>S</v>
          </cell>
          <cell r="F319" t="str">
            <v>20175</v>
          </cell>
          <cell r="G319" t="str">
            <v xml:space="preserve">AMB </v>
          </cell>
          <cell r="H319" t="str">
            <v>CL||5|||||#|4||-|2|||</v>
          </cell>
          <cell r="J319">
            <v>120523</v>
          </cell>
          <cell r="L319" t="str">
            <v>9.256237</v>
          </cell>
          <cell r="M319" t="str">
            <v>-73.816344</v>
          </cell>
        </row>
        <row r="320">
          <cell r="C320">
            <v>7105</v>
          </cell>
          <cell r="D320" t="str">
            <v>AMBULANTE CLARO EL PASO</v>
          </cell>
          <cell r="E320" t="str">
            <v>S</v>
          </cell>
          <cell r="F320" t="str">
            <v>20250</v>
          </cell>
          <cell r="G320" t="str">
            <v xml:space="preserve">AMB </v>
          </cell>
          <cell r="H320" t="str">
            <v>CR||16|||||#|5||-|20|||</v>
          </cell>
          <cell r="J320">
            <v>120523</v>
          </cell>
          <cell r="L320" t="str">
            <v>9.6589</v>
          </cell>
          <cell r="M320" t="str">
            <v>-73.7507</v>
          </cell>
        </row>
        <row r="321">
          <cell r="C321">
            <v>7114</v>
          </cell>
          <cell r="D321" t="str">
            <v>OFICINA PRINCIPAL GONZALEZ</v>
          </cell>
          <cell r="E321" t="str">
            <v>S</v>
          </cell>
          <cell r="F321" t="str">
            <v>20310</v>
          </cell>
          <cell r="G321" t="str">
            <v>PDV</v>
          </cell>
          <cell r="H321" t="str">
            <v>CL||5|||||#|10||-|56|||</v>
          </cell>
          <cell r="J321">
            <v>0</v>
          </cell>
        </row>
        <row r="322">
          <cell r="C322">
            <v>7184</v>
          </cell>
          <cell r="D322" t="str">
            <v>CM VARIEDADES LA 25</v>
          </cell>
          <cell r="E322" t="str">
            <v>S</v>
          </cell>
          <cell r="F322" t="str">
            <v>20060</v>
          </cell>
          <cell r="G322" t="str">
            <v>CM</v>
          </cell>
          <cell r="H322" t="str">
            <v>CR||17|||||#|28||-|3|||</v>
          </cell>
          <cell r="J322">
            <v>0</v>
          </cell>
        </row>
        <row r="323">
          <cell r="C323">
            <v>7174</v>
          </cell>
          <cell r="D323" t="str">
            <v>PDV PLAZA MERCADO PELAYA</v>
          </cell>
          <cell r="E323" t="str">
            <v>S</v>
          </cell>
          <cell r="F323" t="str">
            <v>20550</v>
          </cell>
          <cell r="G323" t="str">
            <v xml:space="preserve">PDV </v>
          </cell>
          <cell r="H323" t="str">
            <v>CL||8|||||#|8||-|103|||</v>
          </cell>
          <cell r="J323">
            <v>120523</v>
          </cell>
          <cell r="L323" t="str">
            <v>8.688506</v>
          </cell>
          <cell r="M323" t="str">
            <v>-73.66418</v>
          </cell>
        </row>
        <row r="324">
          <cell r="C324">
            <v>7021</v>
          </cell>
          <cell r="D324" t="str">
            <v>AMBULANTE CLARO SAN ALBERTO</v>
          </cell>
          <cell r="E324" t="str">
            <v>S</v>
          </cell>
          <cell r="F324" t="str">
            <v>20710</v>
          </cell>
          <cell r="G324" t="str">
            <v xml:space="preserve">AMB </v>
          </cell>
          <cell r="H324" t="str">
            <v>CR||3|||||#|4||-|23|||</v>
          </cell>
          <cell r="J324">
            <v>0</v>
          </cell>
          <cell r="L324" t="str">
            <v>7.76126</v>
          </cell>
          <cell r="M324" t="str">
            <v>-73.391668</v>
          </cell>
        </row>
        <row r="325">
          <cell r="C325">
            <v>7047</v>
          </cell>
          <cell r="D325" t="str">
            <v>AMBULANTE TIGO PAILITAS</v>
          </cell>
          <cell r="E325" t="str">
            <v>S</v>
          </cell>
          <cell r="F325" t="str">
            <v>20517</v>
          </cell>
          <cell r="G325" t="str">
            <v xml:space="preserve">AMB </v>
          </cell>
          <cell r="H325" t="str">
            <v>CR||6|||||#|5||-|67|||</v>
          </cell>
          <cell r="J325">
            <v>0</v>
          </cell>
          <cell r="L325" t="str">
            <v>8.95657</v>
          </cell>
          <cell r="M325" t="str">
            <v>-73.6241</v>
          </cell>
        </row>
        <row r="326">
          <cell r="C326">
            <v>7054</v>
          </cell>
          <cell r="D326" t="str">
            <v>OFICINA PRINCIPAL TAMALAMEQUE</v>
          </cell>
          <cell r="E326" t="str">
            <v>S</v>
          </cell>
          <cell r="F326" t="str">
            <v>20787</v>
          </cell>
          <cell r="G326" t="str">
            <v xml:space="preserve">CDA </v>
          </cell>
          <cell r="H326" t="str">
            <v>CL||5|||||#|5||-|93|||</v>
          </cell>
          <cell r="J326">
            <v>120523</v>
          </cell>
          <cell r="L326" t="str">
            <v>8.859786</v>
          </cell>
          <cell r="M326" t="str">
            <v>-73.81008</v>
          </cell>
        </row>
        <row r="327">
          <cell r="C327">
            <v>7072</v>
          </cell>
          <cell r="D327" t="str">
            <v>AMBULANTE MOVISTAR LA JAGUA</v>
          </cell>
          <cell r="E327" t="str">
            <v>S</v>
          </cell>
          <cell r="F327" t="str">
            <v>20400</v>
          </cell>
          <cell r="G327" t="str">
            <v xml:space="preserve">AMB </v>
          </cell>
          <cell r="H327" t="str">
            <v>DG||1|||||#|5||-|31|||</v>
          </cell>
          <cell r="J327">
            <v>120523</v>
          </cell>
          <cell r="L327" t="str">
            <v>9.5638</v>
          </cell>
          <cell r="M327" t="str">
            <v>-73.3378</v>
          </cell>
        </row>
        <row r="328">
          <cell r="C328">
            <v>7080</v>
          </cell>
          <cell r="D328" t="str">
            <v>AMBULANTE MOVISTAR EL COPEY</v>
          </cell>
          <cell r="E328" t="str">
            <v>S</v>
          </cell>
          <cell r="F328" t="str">
            <v>20238</v>
          </cell>
          <cell r="G328" t="str">
            <v xml:space="preserve">AMB </v>
          </cell>
          <cell r="H328" t="str">
            <v>CR||14|||||#|8|A|-|100|||</v>
          </cell>
          <cell r="J328">
            <v>120523</v>
          </cell>
          <cell r="L328" t="str">
            <v>10.148414</v>
          </cell>
          <cell r="M328" t="str">
            <v>-73.959515</v>
          </cell>
        </row>
        <row r="329">
          <cell r="C329">
            <v>7081</v>
          </cell>
          <cell r="D329" t="str">
            <v>AMBULANTE CLARO EL COPEY</v>
          </cell>
          <cell r="E329" t="str">
            <v>S</v>
          </cell>
          <cell r="F329" t="str">
            <v>20238</v>
          </cell>
          <cell r="G329" t="str">
            <v xml:space="preserve">AMB </v>
          </cell>
          <cell r="H329" t="str">
            <v>CR||14|||||#|8|A|-|100|||</v>
          </cell>
          <cell r="J329">
            <v>0</v>
          </cell>
        </row>
        <row r="330">
          <cell r="C330">
            <v>8457</v>
          </cell>
          <cell r="D330" t="str">
            <v>CM FOTOCOPIA MAIBI</v>
          </cell>
          <cell r="E330" t="str">
            <v>S</v>
          </cell>
          <cell r="F330" t="str">
            <v>20178</v>
          </cell>
          <cell r="G330" t="str">
            <v>CM</v>
          </cell>
          <cell r="H330" t="str">
            <v>CL 7  15 - 85</v>
          </cell>
          <cell r="J330">
            <v>0</v>
          </cell>
        </row>
        <row r="331">
          <cell r="C331">
            <v>8461</v>
          </cell>
          <cell r="D331" t="str">
            <v>CM SAN EDUARDO</v>
          </cell>
          <cell r="E331" t="str">
            <v>S</v>
          </cell>
          <cell r="F331" t="str">
            <v>20011</v>
          </cell>
          <cell r="G331" t="str">
            <v>CM</v>
          </cell>
          <cell r="H331" t="str">
            <v>CL 10  31A - 39</v>
          </cell>
          <cell r="J331">
            <v>0</v>
          </cell>
        </row>
        <row r="332">
          <cell r="C332">
            <v>8936</v>
          </cell>
          <cell r="D332" t="str">
            <v>CM BATALLON</v>
          </cell>
          <cell r="E332" t="str">
            <v>S</v>
          </cell>
          <cell r="F332" t="str">
            <v>20383</v>
          </cell>
          <cell r="G332" t="str">
            <v>CM</v>
          </cell>
          <cell r="H332" t="str">
            <v>KM 5 VIA AYACUCHO</v>
          </cell>
          <cell r="J332">
            <v>0</v>
          </cell>
        </row>
        <row r="333">
          <cell r="C333">
            <v>8446</v>
          </cell>
          <cell r="D333" t="str">
            <v>CM MI SITIO WEB</v>
          </cell>
          <cell r="E333" t="str">
            <v>S</v>
          </cell>
          <cell r="F333" t="str">
            <v>20011</v>
          </cell>
          <cell r="G333" t="str">
            <v>CM</v>
          </cell>
          <cell r="H333" t="str">
            <v>CL 19  1 - 05</v>
          </cell>
          <cell r="J333">
            <v>0</v>
          </cell>
        </row>
        <row r="334">
          <cell r="C334">
            <v>8058</v>
          </cell>
          <cell r="D334" t="str">
            <v>CM 3 HERMANOS</v>
          </cell>
          <cell r="E334" t="str">
            <v>S</v>
          </cell>
          <cell r="F334" t="str">
            <v>20011</v>
          </cell>
          <cell r="G334" t="str">
            <v>CM</v>
          </cell>
          <cell r="H334" t="str">
            <v>CALLE 1  10-150</v>
          </cell>
          <cell r="J334">
            <v>0</v>
          </cell>
        </row>
        <row r="335">
          <cell r="C335">
            <v>8159</v>
          </cell>
          <cell r="D335" t="str">
            <v>CM LA LIBERTAD</v>
          </cell>
          <cell r="E335" t="str">
            <v>S</v>
          </cell>
          <cell r="F335" t="str">
            <v>20011</v>
          </cell>
          <cell r="G335" t="str">
            <v>CM</v>
          </cell>
          <cell r="H335" t="str">
            <v>CALLE 7 N 5-35</v>
          </cell>
          <cell r="J335">
            <v>0</v>
          </cell>
        </row>
        <row r="336">
          <cell r="C336">
            <v>7190</v>
          </cell>
          <cell r="D336" t="str">
            <v>PDV DROGUERIA COLOMBIA</v>
          </cell>
          <cell r="E336" t="str">
            <v>S</v>
          </cell>
          <cell r="F336" t="str">
            <v>20001</v>
          </cell>
          <cell r="G336" t="str">
            <v xml:space="preserve">PDV </v>
          </cell>
          <cell r="H336" t="str">
            <v>TR||25|||||#|17||-|35|||</v>
          </cell>
          <cell r="J336">
            <v>120523</v>
          </cell>
          <cell r="L336" t="str">
            <v>10.458405</v>
          </cell>
          <cell r="M336" t="str">
            <v>-73.264842</v>
          </cell>
        </row>
        <row r="337">
          <cell r="C337">
            <v>8059</v>
          </cell>
          <cell r="D337" t="str">
            <v>CM CACH Y PAPELERIA LAS FLORES</v>
          </cell>
          <cell r="E337" t="str">
            <v>S</v>
          </cell>
          <cell r="F337" t="str">
            <v>20001</v>
          </cell>
          <cell r="G337" t="str">
            <v>CM</v>
          </cell>
          <cell r="H337" t="str">
            <v>CARRERA 19D 14-25</v>
          </cell>
          <cell r="J337">
            <v>0</v>
          </cell>
        </row>
        <row r="338">
          <cell r="C338">
            <v>7152</v>
          </cell>
          <cell r="D338" t="str">
            <v>OFICINA SAN EDUARDO</v>
          </cell>
          <cell r="E338" t="str">
            <v>S</v>
          </cell>
          <cell r="F338" t="str">
            <v>20011</v>
          </cell>
          <cell r="G338" t="str">
            <v xml:space="preserve">CDA </v>
          </cell>
          <cell r="H338" t="str">
            <v>CL||10|||||#|33||-|18|||</v>
          </cell>
          <cell r="J338">
            <v>120523</v>
          </cell>
          <cell r="L338" t="str">
            <v>8.318554</v>
          </cell>
          <cell r="M338" t="str">
            <v>-73.6016386</v>
          </cell>
        </row>
        <row r="339">
          <cell r="C339">
            <v>9211</v>
          </cell>
          <cell r="D339" t="str">
            <v>AMBULANTE TIGO SAN EDUARDO</v>
          </cell>
          <cell r="E339" t="str">
            <v>S</v>
          </cell>
          <cell r="F339" t="str">
            <v>20011</v>
          </cell>
          <cell r="G339" t="str">
            <v xml:space="preserve">AMB </v>
          </cell>
          <cell r="H339" t="str">
            <v>CL||10|||||#|33||-|18|||</v>
          </cell>
          <cell r="J339">
            <v>120523</v>
          </cell>
          <cell r="L339" t="str">
            <v>8.318554</v>
          </cell>
          <cell r="M339" t="str">
            <v>-73.6016386</v>
          </cell>
        </row>
        <row r="340">
          <cell r="C340">
            <v>7166</v>
          </cell>
          <cell r="D340" t="str">
            <v>CM VARIEDADES LA PLATA</v>
          </cell>
          <cell r="E340" t="str">
            <v>S</v>
          </cell>
          <cell r="F340" t="str">
            <v>20060</v>
          </cell>
          <cell r="G340" t="str">
            <v xml:space="preserve">CM </v>
          </cell>
          <cell r="H340" t="str">
            <v>CL||8|||||#|9||-|265|||</v>
          </cell>
          <cell r="J340">
            <v>120523</v>
          </cell>
          <cell r="L340" t="str">
            <v>10.012697</v>
          </cell>
          <cell r="M340" t="str">
            <v>-73.69809219</v>
          </cell>
        </row>
        <row r="341">
          <cell r="C341">
            <v>8119</v>
          </cell>
          <cell r="D341" t="str">
            <v>CM BARBERIA CABANA</v>
          </cell>
          <cell r="E341" t="str">
            <v>S</v>
          </cell>
          <cell r="F341" t="str">
            <v>20045</v>
          </cell>
          <cell r="G341" t="str">
            <v xml:space="preserve">CM </v>
          </cell>
          <cell r="H341" t="str">
            <v>CR||2|||||#|7||-|9|||</v>
          </cell>
          <cell r="J341">
            <v>120523</v>
          </cell>
          <cell r="L341" t="str">
            <v>9.70949</v>
          </cell>
          <cell r="M341" t="str">
            <v>-73.28004</v>
          </cell>
        </row>
        <row r="342">
          <cell r="C342">
            <v>8516</v>
          </cell>
          <cell r="D342" t="str">
            <v xml:space="preserve">CM LA CURVA </v>
          </cell>
          <cell r="E342" t="str">
            <v>S</v>
          </cell>
          <cell r="F342" t="str">
            <v>20770</v>
          </cell>
          <cell r="G342" t="str">
            <v xml:space="preserve">CM </v>
          </cell>
          <cell r="H342" t="str">
            <v>CR||3|||||#|4||-|23|||</v>
          </cell>
          <cell r="J342">
            <v>120523</v>
          </cell>
          <cell r="L342" t="str">
            <v>7.85753333</v>
          </cell>
          <cell r="M342" t="str">
            <v>-73.54622166</v>
          </cell>
        </row>
        <row r="343">
          <cell r="C343">
            <v>8154</v>
          </cell>
          <cell r="D343" t="str">
            <v>CM LAVAUTOS SAN JOSE</v>
          </cell>
          <cell r="E343" t="str">
            <v>S</v>
          </cell>
          <cell r="F343" t="str">
            <v>20001</v>
          </cell>
          <cell r="G343" t="str">
            <v>CM</v>
          </cell>
          <cell r="H343" t="str">
            <v>CL 19C 6A-40 KENNEDY</v>
          </cell>
          <cell r="J343">
            <v>0</v>
          </cell>
        </row>
        <row r="344">
          <cell r="C344">
            <v>8264</v>
          </cell>
          <cell r="D344" t="str">
            <v>CM LA Y</v>
          </cell>
          <cell r="E344" t="str">
            <v>S</v>
          </cell>
          <cell r="F344" t="str">
            <v>20400</v>
          </cell>
          <cell r="G344" t="str">
            <v>CM</v>
          </cell>
          <cell r="H344" t="str">
            <v>DIAG 1 CRA 4 - 71</v>
          </cell>
          <cell r="J344">
            <v>0</v>
          </cell>
        </row>
        <row r="345">
          <cell r="C345">
            <v>9226</v>
          </cell>
          <cell r="D345" t="str">
            <v>AMBULANTE MOVISTAR SAN ANTONIO</v>
          </cell>
          <cell r="E345" t="str">
            <v>S</v>
          </cell>
          <cell r="F345" t="str">
            <v>20011</v>
          </cell>
          <cell r="G345" t="str">
            <v xml:space="preserve">AMB </v>
          </cell>
          <cell r="H345" t="str">
            <v>CR||16|||||#|5||-|20|||</v>
          </cell>
          <cell r="J345">
            <v>120523</v>
          </cell>
          <cell r="L345" t="str">
            <v>8.30923</v>
          </cell>
          <cell r="M345" t="str">
            <v>-73.618025</v>
          </cell>
        </row>
        <row r="346">
          <cell r="C346">
            <v>9228</v>
          </cell>
          <cell r="D346" t="str">
            <v>AMBULANTE CLARO NURIT SAN ANTO</v>
          </cell>
          <cell r="E346" t="str">
            <v>S</v>
          </cell>
          <cell r="F346" t="str">
            <v>20011</v>
          </cell>
          <cell r="G346" t="str">
            <v xml:space="preserve">AMB </v>
          </cell>
          <cell r="H346" t="str">
            <v>CR||16|||||#|5||-|20|||</v>
          </cell>
          <cell r="J346">
            <v>120523</v>
          </cell>
          <cell r="L346" t="str">
            <v>8.30923</v>
          </cell>
          <cell r="M346" t="str">
            <v>-73.618025</v>
          </cell>
        </row>
        <row r="347">
          <cell r="C347">
            <v>11164</v>
          </cell>
          <cell r="D347" t="str">
            <v>CM LOS MANGUITOS</v>
          </cell>
          <cell r="E347" t="str">
            <v>S</v>
          </cell>
          <cell r="F347" t="str">
            <v>20045</v>
          </cell>
          <cell r="G347" t="str">
            <v xml:space="preserve">CM </v>
          </cell>
          <cell r="H347" t="str">
            <v>CR||11|||||#|10||-|11|||</v>
          </cell>
          <cell r="J347">
            <v>120523</v>
          </cell>
          <cell r="L347" t="str">
            <v>9.70326</v>
          </cell>
          <cell r="M347" t="str">
            <v>-73.28574</v>
          </cell>
        </row>
        <row r="348">
          <cell r="C348">
            <v>8292</v>
          </cell>
          <cell r="D348" t="str">
            <v>CM LA NOVENA</v>
          </cell>
          <cell r="E348" t="str">
            <v>S</v>
          </cell>
          <cell r="F348" t="str">
            <v>20011</v>
          </cell>
          <cell r="G348" t="str">
            <v>CM</v>
          </cell>
          <cell r="H348" t="str">
            <v>CALLE 9 N 8 - 54</v>
          </cell>
          <cell r="J348">
            <v>0</v>
          </cell>
        </row>
        <row r="349">
          <cell r="C349">
            <v>8355</v>
          </cell>
          <cell r="D349" t="str">
            <v xml:space="preserve">CM CENTRO SAN ALBERTO </v>
          </cell>
          <cell r="E349" t="str">
            <v>S</v>
          </cell>
          <cell r="F349" t="str">
            <v>20710</v>
          </cell>
          <cell r="G349" t="str">
            <v>CM</v>
          </cell>
          <cell r="H349" t="str">
            <v>CRA 2 N 1 - 230</v>
          </cell>
          <cell r="J349">
            <v>0</v>
          </cell>
        </row>
        <row r="350">
          <cell r="C350">
            <v>8399</v>
          </cell>
          <cell r="D350" t="str">
            <v xml:space="preserve">CM CENTRO TAMALAMEQUE </v>
          </cell>
          <cell r="E350" t="str">
            <v>S</v>
          </cell>
          <cell r="F350" t="str">
            <v>20787</v>
          </cell>
          <cell r="G350" t="str">
            <v xml:space="preserve">CM </v>
          </cell>
          <cell r="H350" t="str">
            <v>CR||4|||||#|1||-|18|||</v>
          </cell>
          <cell r="J350">
            <v>120523</v>
          </cell>
          <cell r="L350" t="str">
            <v>8.857646</v>
          </cell>
          <cell r="M350" t="str">
            <v>-73.815576</v>
          </cell>
        </row>
        <row r="351">
          <cell r="C351">
            <v>8402</v>
          </cell>
          <cell r="D351" t="str">
            <v xml:space="preserve">CM DROGUERIA INGRESA </v>
          </cell>
          <cell r="E351" t="str">
            <v>S</v>
          </cell>
          <cell r="F351" t="str">
            <v>20001</v>
          </cell>
          <cell r="G351" t="str">
            <v>CM</v>
          </cell>
          <cell r="H351" t="str">
            <v>CR 18  13C - 36</v>
          </cell>
          <cell r="J351">
            <v>0</v>
          </cell>
        </row>
        <row r="352">
          <cell r="C352">
            <v>7240</v>
          </cell>
          <cell r="D352" t="str">
            <v>CM LA PALMORENA</v>
          </cell>
          <cell r="E352" t="str">
            <v>S</v>
          </cell>
          <cell r="F352" t="str">
            <v>20001</v>
          </cell>
          <cell r="G352" t="str">
            <v>CM</v>
          </cell>
          <cell r="H352" t="str">
            <v>TR||3|A||||#|44||-|5|||</v>
          </cell>
          <cell r="J352">
            <v>0</v>
          </cell>
        </row>
        <row r="353">
          <cell r="C353">
            <v>9098</v>
          </cell>
          <cell r="D353" t="str">
            <v>PDV PARQUE SAN MARTIN</v>
          </cell>
          <cell r="E353" t="str">
            <v>S</v>
          </cell>
          <cell r="F353" t="str">
            <v>20001</v>
          </cell>
          <cell r="G353" t="str">
            <v xml:space="preserve">PDV </v>
          </cell>
          <cell r="H353" t="str">
            <v>CR||5|A||||#|41||-|195|||</v>
          </cell>
          <cell r="J353">
            <v>120523</v>
          </cell>
          <cell r="L353" t="str">
            <v>10.4509</v>
          </cell>
          <cell r="M353" t="str">
            <v>-73.2495</v>
          </cell>
        </row>
        <row r="354">
          <cell r="C354">
            <v>16821</v>
          </cell>
          <cell r="D354" t="str">
            <v>PDV EL PELU</v>
          </cell>
          <cell r="E354" t="str">
            <v>S</v>
          </cell>
          <cell r="F354" t="str">
            <v>20001</v>
          </cell>
          <cell r="G354" t="str">
            <v xml:space="preserve">PDV </v>
          </cell>
          <cell r="H354" t="str">
            <v>CR||7|||||#|16|A|-|133|||</v>
          </cell>
          <cell r="J354">
            <v>120523</v>
          </cell>
          <cell r="L354" t="str">
            <v>10.4778599</v>
          </cell>
          <cell r="M354" t="str">
            <v>-73.265403</v>
          </cell>
        </row>
        <row r="355">
          <cell r="C355">
            <v>8706</v>
          </cell>
          <cell r="D355" t="str">
            <v>CM TERMINAL</v>
          </cell>
          <cell r="E355" t="str">
            <v>S</v>
          </cell>
          <cell r="F355" t="str">
            <v>20011</v>
          </cell>
          <cell r="G355" t="str">
            <v xml:space="preserve">CM </v>
          </cell>
          <cell r="H355" t="str">
            <v>CL||16|||||#|9||-|16|||</v>
          </cell>
          <cell r="J355">
            <v>120523</v>
          </cell>
          <cell r="L355" t="str">
            <v>8.3061</v>
          </cell>
          <cell r="M355" t="str">
            <v>-73.6221</v>
          </cell>
        </row>
        <row r="356">
          <cell r="C356">
            <v>7206</v>
          </cell>
          <cell r="D356" t="str">
            <v>CM LA TRONCAL CASACARA</v>
          </cell>
          <cell r="E356" t="str">
            <v>S</v>
          </cell>
          <cell r="F356" t="str">
            <v>20013</v>
          </cell>
          <cell r="G356" t="str">
            <v xml:space="preserve">CM </v>
          </cell>
          <cell r="H356" t="str">
            <v>CR||2|||||#|1||-|254|||</v>
          </cell>
          <cell r="J356">
            <v>120523</v>
          </cell>
          <cell r="L356" t="str">
            <v>9.8265</v>
          </cell>
          <cell r="M356" t="str">
            <v>-73.26622</v>
          </cell>
        </row>
        <row r="357">
          <cell r="C357">
            <v>9156</v>
          </cell>
          <cell r="D357" t="str">
            <v>PDV CENTRO CONVIVENCIA</v>
          </cell>
          <cell r="E357" t="str">
            <v>S</v>
          </cell>
          <cell r="F357" t="str">
            <v>20011</v>
          </cell>
          <cell r="G357" t="str">
            <v xml:space="preserve">PDV </v>
          </cell>
          <cell r="H357" t="str">
            <v>CR||19|||||#|7||-|13|||</v>
          </cell>
          <cell r="J357">
            <v>120523</v>
          </cell>
          <cell r="L357" t="str">
            <v>8.310045</v>
          </cell>
          <cell r="M357" t="str">
            <v>-73.625766</v>
          </cell>
        </row>
        <row r="358">
          <cell r="C358">
            <v>23994</v>
          </cell>
          <cell r="D358" t="str">
            <v>CM VARIEDADES VALETNISA</v>
          </cell>
          <cell r="E358" t="str">
            <v>S</v>
          </cell>
          <cell r="F358" t="str">
            <v>20295</v>
          </cell>
          <cell r="G358" t="str">
            <v xml:space="preserve">CM </v>
          </cell>
          <cell r="H358" t="str">
            <v>CL||6|||||#|3||-|26|||</v>
          </cell>
          <cell r="J358">
            <v>120523</v>
          </cell>
          <cell r="L358" t="str">
            <v>8.32003</v>
          </cell>
          <cell r="M358" t="str">
            <v>-73.74513</v>
          </cell>
        </row>
        <row r="359">
          <cell r="C359">
            <v>41103</v>
          </cell>
          <cell r="D359" t="str">
            <v>PDV COOTRANSLOMA FUNDADORES</v>
          </cell>
          <cell r="E359" t="str">
            <v>S</v>
          </cell>
          <cell r="F359" t="str">
            <v>20001</v>
          </cell>
          <cell r="H359" t="str">
            <v>DG||21|||||#|24||-|84|||</v>
          </cell>
          <cell r="J359">
            <v>120523</v>
          </cell>
          <cell r="L359" t="str">
            <v>10.455406</v>
          </cell>
          <cell r="M359" t="str">
            <v>-73.257332</v>
          </cell>
        </row>
        <row r="360">
          <cell r="C360">
            <v>40373</v>
          </cell>
          <cell r="D360" t="str">
            <v>PDV AVENIDA 450 AÑOS</v>
          </cell>
          <cell r="E360" t="str">
            <v>S</v>
          </cell>
          <cell r="F360" t="str">
            <v>20001</v>
          </cell>
          <cell r="G360" t="str">
            <v xml:space="preserve">PDV </v>
          </cell>
          <cell r="H360" t="str">
            <v>CR||35|||||#|18|E|-|28|||</v>
          </cell>
          <cell r="J360">
            <v>120523</v>
          </cell>
          <cell r="L360" t="str">
            <v>10.4475966</v>
          </cell>
          <cell r="M360" t="str">
            <v>-73.27393027</v>
          </cell>
        </row>
        <row r="361">
          <cell r="C361">
            <v>40381</v>
          </cell>
          <cell r="D361" t="str">
            <v>TAT VARIEDADES HERMANOS VERA</v>
          </cell>
          <cell r="E361" t="str">
            <v>S</v>
          </cell>
          <cell r="F361" t="str">
            <v>20045</v>
          </cell>
          <cell r="G361" t="str">
            <v xml:space="preserve">TAT </v>
          </cell>
          <cell r="H361" t="str">
            <v>CR||5|||||#|10||-|48|||</v>
          </cell>
          <cell r="J361">
            <v>120523</v>
          </cell>
          <cell r="L361" t="str">
            <v>9.702244</v>
          </cell>
          <cell r="M361" t="str">
            <v>-73.280969</v>
          </cell>
        </row>
        <row r="362">
          <cell r="C362">
            <v>40383</v>
          </cell>
          <cell r="D362" t="str">
            <v>TAT VARIEDADES NABELIS</v>
          </cell>
          <cell r="E362" t="str">
            <v>S</v>
          </cell>
          <cell r="F362" t="str">
            <v>20045</v>
          </cell>
          <cell r="G362" t="str">
            <v xml:space="preserve">TAT </v>
          </cell>
          <cell r="H362" t="str">
            <v>CR||5|||||#|10||-|17|||</v>
          </cell>
          <cell r="J362">
            <v>120523</v>
          </cell>
          <cell r="L362" t="str">
            <v>9.70225</v>
          </cell>
          <cell r="M362" t="str">
            <v>-73.28094</v>
          </cell>
        </row>
        <row r="363">
          <cell r="C363">
            <v>40734</v>
          </cell>
          <cell r="D363" t="str">
            <v xml:space="preserve"> CM KELLY </v>
          </cell>
          <cell r="E363" t="str">
            <v>S</v>
          </cell>
          <cell r="F363" t="str">
            <v>20770</v>
          </cell>
          <cell r="G363" t="str">
            <v>CM</v>
          </cell>
          <cell r="H363" t="str">
            <v>OT||||||||||||||MZ 6 CS 6 UR B SAN JORGE</v>
          </cell>
          <cell r="J363">
            <v>0</v>
          </cell>
          <cell r="L363" t="str">
            <v>8.00616</v>
          </cell>
          <cell r="M363" t="str">
            <v>-73.5138</v>
          </cell>
        </row>
        <row r="364">
          <cell r="C364">
            <v>42459</v>
          </cell>
          <cell r="D364" t="str">
            <v>CM SUPER CHIMILA</v>
          </cell>
          <cell r="E364" t="str">
            <v>S</v>
          </cell>
          <cell r="F364" t="str">
            <v>20238</v>
          </cell>
          <cell r="H364" t="str">
            <v>CR||2|||||#|2||-|26|||</v>
          </cell>
          <cell r="J364">
            <v>120523</v>
          </cell>
          <cell r="L364" t="str">
            <v>10.323495</v>
          </cell>
          <cell r="M364" t="str">
            <v>-73.849327</v>
          </cell>
        </row>
        <row r="365">
          <cell r="C365">
            <v>40190</v>
          </cell>
          <cell r="D365" t="str">
            <v>CM WOLFAIN</v>
          </cell>
          <cell r="E365" t="str">
            <v>S</v>
          </cell>
          <cell r="F365" t="str">
            <v>20011</v>
          </cell>
          <cell r="G365" t="str">
            <v xml:space="preserve">CM </v>
          </cell>
          <cell r="H365" t="str">
            <v>CR||13|||||#|2||-|31|||</v>
          </cell>
          <cell r="J365">
            <v>120523</v>
          </cell>
          <cell r="L365" t="str">
            <v>8.311701</v>
          </cell>
          <cell r="M365" t="str">
            <v>-73.621391</v>
          </cell>
        </row>
        <row r="366">
          <cell r="C366">
            <v>40635</v>
          </cell>
          <cell r="D366" t="str">
            <v xml:space="preserve">PDV LA CIUDADELA EL PASO </v>
          </cell>
          <cell r="E366" t="str">
            <v>S</v>
          </cell>
          <cell r="F366" t="str">
            <v>20250</v>
          </cell>
          <cell r="G366" t="str">
            <v xml:space="preserve">PDV </v>
          </cell>
          <cell r="H366" t="str">
            <v>CR||8|||||#|2|N|-|177|||</v>
          </cell>
          <cell r="J366">
            <v>120523</v>
          </cell>
          <cell r="L366" t="str">
            <v>9.6675</v>
          </cell>
          <cell r="M366" t="str">
            <v>-73.7465</v>
          </cell>
        </row>
        <row r="367">
          <cell r="C367">
            <v>40818</v>
          </cell>
          <cell r="D367" t="str">
            <v>CM LA MAMPANA BOSCONIA</v>
          </cell>
          <cell r="E367" t="str">
            <v>S</v>
          </cell>
          <cell r="F367" t="str">
            <v>20060</v>
          </cell>
          <cell r="G367" t="str">
            <v xml:space="preserve">CM </v>
          </cell>
          <cell r="H367" t="str">
            <v>OT||||||||||||||MZ J CA1 EL PORTAL</v>
          </cell>
          <cell r="J367">
            <v>120523</v>
          </cell>
          <cell r="L367" t="str">
            <v>9.981882</v>
          </cell>
          <cell r="M367" t="str">
            <v>-73.878764</v>
          </cell>
        </row>
        <row r="368">
          <cell r="C368">
            <v>41096</v>
          </cell>
          <cell r="D368" t="str">
            <v>CM DONDE YENNIS</v>
          </cell>
          <cell r="E368" t="str">
            <v>S</v>
          </cell>
          <cell r="F368" t="str">
            <v>20001</v>
          </cell>
          <cell r="H368" t="str">
            <v>TR||21|||||#|18|A|-|44|||</v>
          </cell>
          <cell r="J368">
            <v>120523</v>
          </cell>
          <cell r="L368" t="str">
            <v>10.461772</v>
          </cell>
          <cell r="M368" t="str">
            <v>-73.260501</v>
          </cell>
        </row>
        <row r="369">
          <cell r="C369">
            <v>42440</v>
          </cell>
          <cell r="D369" t="str">
            <v>PDV 4 ESQUINA</v>
          </cell>
          <cell r="E369" t="str">
            <v>S</v>
          </cell>
          <cell r="F369" t="str">
            <v>20250</v>
          </cell>
          <cell r="H369" t="str">
            <v>CL||4|||||#|11||-|51|||</v>
          </cell>
          <cell r="J369">
            <v>120523</v>
          </cell>
          <cell r="L369" t="str">
            <v>9.6172</v>
          </cell>
          <cell r="M369" t="str">
            <v>-73.6009</v>
          </cell>
        </row>
        <row r="370">
          <cell r="C370">
            <v>43389</v>
          </cell>
          <cell r="D370" t="str">
            <v>CM TIENDA LA UNION</v>
          </cell>
          <cell r="E370" t="str">
            <v>S</v>
          </cell>
          <cell r="F370" t="str">
            <v>20001</v>
          </cell>
          <cell r="H370" t="str">
            <v>CR||18|H||||#|56||-|11|||</v>
          </cell>
          <cell r="J370">
            <v>120523</v>
          </cell>
          <cell r="L370" t="str">
            <v>10.4387</v>
          </cell>
          <cell r="M370" t="str">
            <v>-73.2458</v>
          </cell>
        </row>
        <row r="371">
          <cell r="C371">
            <v>43527</v>
          </cell>
          <cell r="D371" t="str">
            <v>TAT POLLO ISRA</v>
          </cell>
          <cell r="E371" t="str">
            <v>S</v>
          </cell>
          <cell r="F371" t="str">
            <v>20001</v>
          </cell>
          <cell r="H371" t="str">
            <v>CR||30|A||||#|18|B|-|15|||</v>
          </cell>
          <cell r="J371">
            <v>120523</v>
          </cell>
          <cell r="L371" t="str">
            <v>10.453368</v>
          </cell>
          <cell r="M371" t="str">
            <v>-73.265493</v>
          </cell>
        </row>
        <row r="372">
          <cell r="C372">
            <v>43540</v>
          </cell>
          <cell r="D372" t="str">
            <v>PDV HOSPITAL CH</v>
          </cell>
          <cell r="E372" t="str">
            <v>S</v>
          </cell>
          <cell r="F372" t="str">
            <v>20175</v>
          </cell>
          <cell r="H372" t="str">
            <v>CR||8|||||#|8||-|2|||</v>
          </cell>
          <cell r="J372">
            <v>120523</v>
          </cell>
          <cell r="L372" t="str">
            <v>9.257595</v>
          </cell>
          <cell r="M372" t="str">
            <v>-73.814755</v>
          </cell>
        </row>
        <row r="373">
          <cell r="C373">
            <v>43613</v>
          </cell>
          <cell r="D373" t="str">
            <v>CM SAN FELIPE</v>
          </cell>
          <cell r="E373" t="str">
            <v>S</v>
          </cell>
          <cell r="F373" t="str">
            <v>20750</v>
          </cell>
          <cell r="H373" t="str">
            <v>CL||8|||||#|3||-|91|||</v>
          </cell>
          <cell r="J373">
            <v>120523</v>
          </cell>
          <cell r="L373" t="str">
            <v>10.3365</v>
          </cell>
          <cell r="M373" t="str">
            <v>-73.174</v>
          </cell>
        </row>
        <row r="374">
          <cell r="C374">
            <v>43632</v>
          </cell>
          <cell r="D374" t="str">
            <v>CM PANADERIA DURAN</v>
          </cell>
          <cell r="E374" t="str">
            <v>S</v>
          </cell>
          <cell r="F374" t="str">
            <v>20614</v>
          </cell>
          <cell r="H374" t="str">
            <v>CL||1|||||#|6||-|41|||</v>
          </cell>
          <cell r="J374">
            <v>120523</v>
          </cell>
          <cell r="L374" t="str">
            <v>8.28926</v>
          </cell>
          <cell r="M374" t="str">
            <v>-73.38958</v>
          </cell>
        </row>
        <row r="375">
          <cell r="C375">
            <v>43633</v>
          </cell>
          <cell r="D375" t="str">
            <v>CM PARAISO 2 CH</v>
          </cell>
          <cell r="E375" t="str">
            <v>S</v>
          </cell>
          <cell r="F375" t="str">
            <v>20175</v>
          </cell>
          <cell r="H375" t="str">
            <v>CL||1|||||#|5||-|83|||</v>
          </cell>
          <cell r="J375">
            <v>120523</v>
          </cell>
          <cell r="L375" t="str">
            <v>9.254737</v>
          </cell>
          <cell r="M375" t="str">
            <v>-73.815682</v>
          </cell>
        </row>
        <row r="376">
          <cell r="C376">
            <v>43671</v>
          </cell>
          <cell r="D376" t="str">
            <v>PDV LA 25</v>
          </cell>
          <cell r="E376" t="str">
            <v>S</v>
          </cell>
          <cell r="F376" t="str">
            <v>20013</v>
          </cell>
          <cell r="H376" t="str">
            <v>CL||25|||||#|11|A|-|10|||</v>
          </cell>
          <cell r="J376">
            <v>120523</v>
          </cell>
          <cell r="L376" t="str">
            <v>10.04145</v>
          </cell>
          <cell r="M376" t="str">
            <v>-73.2312</v>
          </cell>
        </row>
        <row r="377">
          <cell r="C377">
            <v>43727</v>
          </cell>
          <cell r="D377" t="str">
            <v>PDV ORBE PLAZA</v>
          </cell>
          <cell r="E377" t="str">
            <v>S</v>
          </cell>
          <cell r="F377" t="str">
            <v>20001</v>
          </cell>
          <cell r="H377" t="str">
            <v>CL||12|||||#|8||-|42|||</v>
          </cell>
          <cell r="J377">
            <v>120523</v>
          </cell>
          <cell r="L377" t="str">
            <v>10.480581</v>
          </cell>
          <cell r="M377" t="str">
            <v>-73.250605</v>
          </cell>
        </row>
        <row r="378">
          <cell r="C378">
            <v>43746</v>
          </cell>
          <cell r="D378" t="str">
            <v xml:space="preserve">PDV CASETA LA BUENA FE </v>
          </cell>
          <cell r="E378" t="str">
            <v>S</v>
          </cell>
          <cell r="F378" t="str">
            <v>20001</v>
          </cell>
          <cell r="H378" t="str">
            <v>OT||||||||||||||MZ33 CA 11 GARUPAL 2ETAPA</v>
          </cell>
          <cell r="J378">
            <v>120523</v>
          </cell>
          <cell r="L378" t="str">
            <v>10.472832</v>
          </cell>
          <cell r="M378" t="str">
            <v>-73.263622</v>
          </cell>
        </row>
        <row r="379">
          <cell r="C379">
            <v>43749</v>
          </cell>
          <cell r="D379" t="str">
            <v>PDV CASETA ALAMOS 2</v>
          </cell>
          <cell r="E379" t="str">
            <v>S</v>
          </cell>
          <cell r="F379" t="str">
            <v>20001</v>
          </cell>
          <cell r="H379" t="str">
            <v>OT||||||||||||||MZ 11 CASA 26 ALAMOS 2</v>
          </cell>
          <cell r="J379">
            <v>120523</v>
          </cell>
          <cell r="L379" t="str">
            <v>10.44827</v>
          </cell>
          <cell r="M379" t="str">
            <v>-73.267334</v>
          </cell>
        </row>
        <row r="380">
          <cell r="C380">
            <v>43848</v>
          </cell>
          <cell r="D380" t="str">
            <v>PDV ANTIGUO CDA CURUMANI</v>
          </cell>
          <cell r="E380" t="str">
            <v>S</v>
          </cell>
          <cell r="F380" t="str">
            <v>20228</v>
          </cell>
          <cell r="H380" t="str">
            <v>DG||2|||||#|15||-|30|||</v>
          </cell>
          <cell r="J380">
            <v>120523</v>
          </cell>
          <cell r="L380" t="str">
            <v>9.201117</v>
          </cell>
          <cell r="M380" t="str">
            <v>-73.542877</v>
          </cell>
        </row>
        <row r="381">
          <cell r="C381">
            <v>44816</v>
          </cell>
          <cell r="D381" t="str">
            <v xml:space="preserve">AMBULANTES CLARO SAN ROQUE </v>
          </cell>
          <cell r="E381" t="str">
            <v>S</v>
          </cell>
          <cell r="F381" t="str">
            <v>20228</v>
          </cell>
          <cell r="H381" t="str">
            <v>CL||8|||||#|14||-|33|||</v>
          </cell>
          <cell r="J381">
            <v>120523</v>
          </cell>
          <cell r="L381" t="str">
            <v>9.288</v>
          </cell>
          <cell r="M381" t="str">
            <v>-73.51113</v>
          </cell>
        </row>
        <row r="382">
          <cell r="C382">
            <v>44939</v>
          </cell>
          <cell r="D382" t="str">
            <v xml:space="preserve">CM MEQUE AREPAS </v>
          </cell>
          <cell r="E382" t="str">
            <v>S</v>
          </cell>
          <cell r="F382" t="str">
            <v>20787</v>
          </cell>
          <cell r="H382" t="str">
            <v>CR||2|||||#|3||-|51|||</v>
          </cell>
          <cell r="J382">
            <v>120523</v>
          </cell>
          <cell r="L382" t="str">
            <v>8.87566</v>
          </cell>
          <cell r="M382" t="str">
            <v>-73.66134</v>
          </cell>
        </row>
        <row r="383">
          <cell r="C383">
            <v>45253</v>
          </cell>
          <cell r="D383" t="str">
            <v>CM LA DANTA</v>
          </cell>
          <cell r="E383" t="str">
            <v>S</v>
          </cell>
          <cell r="F383" t="str">
            <v>20443</v>
          </cell>
          <cell r="H383" t="str">
            <v>CR||6|A||||#|1BIS||-|5|||</v>
          </cell>
          <cell r="J383">
            <v>120523</v>
          </cell>
          <cell r="L383" t="str">
            <v>10.388578</v>
          </cell>
          <cell r="M383" t="str">
            <v>-73.025505</v>
          </cell>
        </row>
        <row r="384">
          <cell r="C384">
            <v>45416</v>
          </cell>
          <cell r="D384" t="str">
            <v>PDV SAGRADO CORAZON DE JESUS</v>
          </cell>
          <cell r="E384" t="str">
            <v>S</v>
          </cell>
          <cell r="F384" t="str">
            <v>20011</v>
          </cell>
          <cell r="H384" t="str">
            <v>CR||10|B||||#|14||-|3|||</v>
          </cell>
          <cell r="J384">
            <v>120523</v>
          </cell>
          <cell r="L384" t="str">
            <v>8.298402</v>
          </cell>
          <cell r="M384" t="str">
            <v>-73.621268</v>
          </cell>
        </row>
        <row r="385">
          <cell r="C385">
            <v>46372</v>
          </cell>
          <cell r="D385" t="str">
            <v>CM ISIS</v>
          </cell>
          <cell r="E385" t="str">
            <v>S</v>
          </cell>
          <cell r="F385" t="str">
            <v>20001</v>
          </cell>
          <cell r="H385" t="str">
            <v>CL||7|||||#|3||-|40|||</v>
          </cell>
          <cell r="J385">
            <v>260523</v>
          </cell>
          <cell r="L385" t="str">
            <v>10.184305</v>
          </cell>
          <cell r="M385" t="str">
            <v>-73.585666</v>
          </cell>
        </row>
        <row r="386">
          <cell r="C386">
            <v>46851</v>
          </cell>
          <cell r="D386" t="str">
            <v>CM DONDE LUIS</v>
          </cell>
          <cell r="E386" t="str">
            <v>S</v>
          </cell>
          <cell r="F386" t="str">
            <v>20001</v>
          </cell>
          <cell r="H386" t="str">
            <v>CL 28 # 2-73 BARRIO VILLA DEL ROSARIO</v>
          </cell>
          <cell r="J386">
            <v>0</v>
          </cell>
          <cell r="L386" t="str">
            <v>10.485854</v>
          </cell>
          <cell r="M386" t="str">
            <v>-73.257116</v>
          </cell>
        </row>
        <row r="387">
          <cell r="C387">
            <v>46914</v>
          </cell>
          <cell r="D387" t="str">
            <v>CM CLAUDIA</v>
          </cell>
          <cell r="E387" t="str">
            <v>S</v>
          </cell>
          <cell r="F387" t="str">
            <v>20383</v>
          </cell>
          <cell r="H387" t="str">
            <v>OT||||||||||||||KDX 120-1 CORREGIMIENTO EL BESOTE</v>
          </cell>
          <cell r="J387">
            <v>0</v>
          </cell>
          <cell r="L387" t="str">
            <v>8.493100</v>
          </cell>
          <cell r="M387" t="str">
            <v>73.638400</v>
          </cell>
        </row>
        <row r="388">
          <cell r="C388">
            <v>47088</v>
          </cell>
          <cell r="D388" t="str">
            <v>AMBULANTE BOSCONIA TIGO</v>
          </cell>
          <cell r="E388" t="str">
            <v>S</v>
          </cell>
          <cell r="F388" t="str">
            <v>20060</v>
          </cell>
          <cell r="H388" t="str">
            <v>CR 18 # 16-68</v>
          </cell>
          <cell r="J388">
            <v>0</v>
          </cell>
          <cell r="L388" t="str">
            <v>9.9723</v>
          </cell>
          <cell r="M388" t="str">
            <v>-73.8858</v>
          </cell>
        </row>
        <row r="389">
          <cell r="C389">
            <v>47094</v>
          </cell>
          <cell r="D389" t="str">
            <v>AMBULANTE SAN ALBERTO TIGO</v>
          </cell>
          <cell r="E389" t="str">
            <v>S</v>
          </cell>
          <cell r="F389" t="str">
            <v>20710</v>
          </cell>
          <cell r="H389" t="str">
            <v>CR 3 # 4-23</v>
          </cell>
          <cell r="J389">
            <v>0</v>
          </cell>
          <cell r="L389" t="str">
            <v>7.76126</v>
          </cell>
          <cell r="M389" t="str">
            <v>-73.39126</v>
          </cell>
        </row>
        <row r="390">
          <cell r="C390">
            <v>47131</v>
          </cell>
          <cell r="D390" t="str">
            <v>AMBULANTE LA JAGUA MOVISTAR</v>
          </cell>
          <cell r="E390" t="str">
            <v>S</v>
          </cell>
          <cell r="F390" t="str">
            <v>20400</v>
          </cell>
          <cell r="H390" t="str">
            <v>DG 1  # 5-31</v>
          </cell>
          <cell r="J390">
            <v>0</v>
          </cell>
          <cell r="L390" t="str">
            <v>9.5638</v>
          </cell>
          <cell r="M390" t="str">
            <v>-73.3378</v>
          </cell>
        </row>
        <row r="391">
          <cell r="C391">
            <v>44874</v>
          </cell>
          <cell r="D391" t="str">
            <v xml:space="preserve">CM SANTA ANA FELIZ </v>
          </cell>
          <cell r="E391" t="str">
            <v>S</v>
          </cell>
          <cell r="F391" t="str">
            <v>20011</v>
          </cell>
          <cell r="H391" t="str">
            <v>CR||7|||||#|9|A|-|38|||</v>
          </cell>
          <cell r="J391">
            <v>120523</v>
          </cell>
          <cell r="L391" t="str">
            <v>8.303468</v>
          </cell>
          <cell r="M391" t="str">
            <v>-73.628336</v>
          </cell>
        </row>
        <row r="392">
          <cell r="C392">
            <v>46283</v>
          </cell>
          <cell r="D392" t="str">
            <v>CM SAN ANTONIO</v>
          </cell>
          <cell r="E392" t="str">
            <v>S</v>
          </cell>
          <cell r="F392" t="str">
            <v>20295</v>
          </cell>
          <cell r="H392" t="str">
            <v>CR||6|||||#|13||-|1|||</v>
          </cell>
          <cell r="J392">
            <v>260523</v>
          </cell>
          <cell r="L392" t="str">
            <v>8.325401</v>
          </cell>
          <cell r="M392" t="str">
            <v>-73.74382</v>
          </cell>
        </row>
        <row r="393">
          <cell r="C393">
            <v>45308</v>
          </cell>
          <cell r="D393" t="str">
            <v>CM LA PLAZA BOSCONIA</v>
          </cell>
          <cell r="E393" t="str">
            <v>S</v>
          </cell>
          <cell r="F393" t="str">
            <v>20060</v>
          </cell>
          <cell r="H393" t="str">
            <v>CR||22|||||#|12||-|28|||</v>
          </cell>
          <cell r="J393">
            <v>120523</v>
          </cell>
          <cell r="L393" t="str">
            <v>9.9668</v>
          </cell>
          <cell r="M393" t="str">
            <v>-73.8862</v>
          </cell>
        </row>
        <row r="394">
          <cell r="C394">
            <v>46319</v>
          </cell>
          <cell r="D394" t="str">
            <v>CM DONDE JESSICA</v>
          </cell>
          <cell r="E394" t="str">
            <v>S</v>
          </cell>
          <cell r="F394" t="str">
            <v>20750</v>
          </cell>
          <cell r="H394" t="str">
            <v>CR||5|A||||#|7||-|36|||</v>
          </cell>
          <cell r="J394">
            <v>260523</v>
          </cell>
          <cell r="L394" t="str">
            <v>10.3354</v>
          </cell>
          <cell r="M394" t="str">
            <v>-73.1755</v>
          </cell>
        </row>
        <row r="395">
          <cell r="C395">
            <v>46805</v>
          </cell>
          <cell r="D395" t="str">
            <v>PDV 5 ESQUINAS 2</v>
          </cell>
          <cell r="E395" t="str">
            <v>S</v>
          </cell>
          <cell r="F395" t="str">
            <v>20001</v>
          </cell>
          <cell r="H395" t="str">
            <v>CR 7 # 17-22 LOCAL 1 CENTRO</v>
          </cell>
          <cell r="J395">
            <v>0</v>
          </cell>
          <cell r="L395" t="str">
            <v>10.473900</v>
          </cell>
          <cell r="M395" t="str">
            <v>-73.243800</v>
          </cell>
        </row>
        <row r="396">
          <cell r="C396">
            <v>45172</v>
          </cell>
          <cell r="D396" t="str">
            <v>CM PROVISIONES LA ÑAÑA</v>
          </cell>
          <cell r="E396" t="str">
            <v>S</v>
          </cell>
          <cell r="F396" t="str">
            <v>20621</v>
          </cell>
          <cell r="H396" t="str">
            <v>CL||8|B||||#|1|B|-|36|||</v>
          </cell>
          <cell r="J396">
            <v>120523</v>
          </cell>
          <cell r="L396" t="str">
            <v>10.380552</v>
          </cell>
          <cell r="M396" t="str">
            <v>-73.173668</v>
          </cell>
        </row>
        <row r="397">
          <cell r="C397">
            <v>47106</v>
          </cell>
          <cell r="D397" t="str">
            <v>AMBULANTE CHIMICHAGUA TIGO</v>
          </cell>
          <cell r="E397" t="str">
            <v>S</v>
          </cell>
          <cell r="F397" t="str">
            <v>20175</v>
          </cell>
          <cell r="H397" t="str">
            <v>CL 5 # 4-2</v>
          </cell>
          <cell r="J397">
            <v>0</v>
          </cell>
          <cell r="L397" t="str">
            <v>9.256237</v>
          </cell>
          <cell r="M397" t="str">
            <v>-73.816344</v>
          </cell>
        </row>
        <row r="398">
          <cell r="C398">
            <v>47107</v>
          </cell>
          <cell r="D398" t="str">
            <v>AMBULANTE CHIMICHAGUA MOVISTAR</v>
          </cell>
          <cell r="E398" t="str">
            <v>S</v>
          </cell>
          <cell r="F398" t="str">
            <v>20175</v>
          </cell>
          <cell r="H398" t="str">
            <v>CL 5 # 4-2</v>
          </cell>
          <cell r="J398">
            <v>0</v>
          </cell>
          <cell r="L398" t="str">
            <v>9.256237</v>
          </cell>
          <cell r="M398" t="str">
            <v>-73.816344</v>
          </cell>
        </row>
        <row r="399">
          <cell r="C399">
            <v>47112</v>
          </cell>
          <cell r="D399" t="str">
            <v>AMBULANTE PELAYA TIGO</v>
          </cell>
          <cell r="E399" t="str">
            <v>S</v>
          </cell>
          <cell r="F399" t="str">
            <v>20550</v>
          </cell>
          <cell r="H399" t="str">
            <v>CR 8 # 8-85</v>
          </cell>
          <cell r="J399">
            <v>0</v>
          </cell>
          <cell r="L399" t="str">
            <v>8.690177</v>
          </cell>
          <cell r="M399" t="str">
            <v>-73.663931</v>
          </cell>
        </row>
        <row r="400">
          <cell r="C400">
            <v>47444</v>
          </cell>
          <cell r="D400" t="str">
            <v>CM SILVANNA</v>
          </cell>
          <cell r="E400" t="str">
            <v>S</v>
          </cell>
          <cell r="F400" t="str">
            <v>20443</v>
          </cell>
          <cell r="H400" t="str">
            <v>CL 2C # 12-45 BARRIO 21 DE ENERO</v>
          </cell>
          <cell r="J400">
            <v>0</v>
          </cell>
          <cell r="L400" t="str">
            <v>10.386485</v>
          </cell>
          <cell r="M400" t="str">
            <v>-73.035153</v>
          </cell>
        </row>
        <row r="401">
          <cell r="C401">
            <v>47554</v>
          </cell>
          <cell r="D401" t="str">
            <v>CM ELIS</v>
          </cell>
          <cell r="E401" t="str">
            <v>S</v>
          </cell>
          <cell r="F401" t="str">
            <v>20710</v>
          </cell>
          <cell r="H401" t="str">
            <v>CL 4 # 6A - 67 BARRIO OASIS</v>
          </cell>
          <cell r="J401">
            <v>0</v>
          </cell>
          <cell r="L401" t="str">
            <v>7.763685</v>
          </cell>
          <cell r="M401" t="str">
            <v>-73.396631</v>
          </cell>
        </row>
        <row r="402">
          <cell r="C402">
            <v>47569</v>
          </cell>
          <cell r="D402" t="str">
            <v>CM CYBER LA CRESPA</v>
          </cell>
          <cell r="E402" t="str">
            <v>S</v>
          </cell>
          <cell r="F402" t="str">
            <v>20001</v>
          </cell>
          <cell r="H402" t="str">
            <v>CR 20 # 32-03 BARRIO SAN MARTIN</v>
          </cell>
          <cell r="J402">
            <v>0</v>
          </cell>
          <cell r="L402" t="str">
            <v>10.45290532</v>
          </cell>
          <cell r="M402" t="str">
            <v>-73.25016959</v>
          </cell>
        </row>
        <row r="403">
          <cell r="C403">
            <v>43817</v>
          </cell>
          <cell r="D403" t="str">
            <v>CM ESTANCO LA 24</v>
          </cell>
          <cell r="E403" t="str">
            <v>S</v>
          </cell>
          <cell r="F403" t="str">
            <v>20011</v>
          </cell>
          <cell r="H403" t="str">
            <v>CR||24|A||||#|7||-|74|||</v>
          </cell>
          <cell r="J403">
            <v>120523</v>
          </cell>
          <cell r="L403" t="str">
            <v>8.30710472</v>
          </cell>
          <cell r="M403" t="str">
            <v>-73.61036795</v>
          </cell>
        </row>
        <row r="404">
          <cell r="C404">
            <v>250072</v>
          </cell>
          <cell r="D404" t="str">
            <v xml:space="preserve">CM NUEVA COLOMBIA </v>
          </cell>
          <cell r="E404" t="str">
            <v>S</v>
          </cell>
          <cell r="F404" t="str">
            <v>20032</v>
          </cell>
          <cell r="H404" t="str">
            <v>CARRETERA VIA NUEVA COLOMBIA KM 36-450</v>
          </cell>
          <cell r="J404">
            <v>0</v>
          </cell>
          <cell r="L404" t="str">
            <v>9.553118</v>
          </cell>
          <cell r="M404" t="str">
            <v>-73.042851</v>
          </cell>
        </row>
        <row r="405">
          <cell r="C405">
            <v>250314</v>
          </cell>
          <cell r="D405" t="str">
            <v>CM LOS CAMACHOS</v>
          </cell>
          <cell r="E405" t="str">
            <v>S</v>
          </cell>
          <cell r="F405" t="str">
            <v>20787</v>
          </cell>
          <cell r="H405" t="str">
            <v>CR 3 CL 2-5 BARRIO EL MACHIN</v>
          </cell>
          <cell r="J405">
            <v>0</v>
          </cell>
          <cell r="L405" t="str">
            <v>8.855755</v>
          </cell>
          <cell r="M405" t="str">
            <v>-73.817898</v>
          </cell>
        </row>
        <row r="406">
          <cell r="C406">
            <v>250351</v>
          </cell>
          <cell r="D406" t="str">
            <v>CENTRO DE DX AUTOMOTOR DE VALL</v>
          </cell>
          <cell r="E406" t="str">
            <v>S</v>
          </cell>
          <cell r="F406" t="str">
            <v>20060</v>
          </cell>
          <cell r="H406" t="str">
            <v>CR 18 169-68</v>
          </cell>
          <cell r="J406">
            <v>0</v>
          </cell>
          <cell r="L406" t="str">
            <v>9.9723</v>
          </cell>
          <cell r="M406" t="str">
            <v>-73.8858</v>
          </cell>
        </row>
        <row r="407">
          <cell r="C407">
            <v>250353</v>
          </cell>
          <cell r="D407" t="str">
            <v>CERTICAR</v>
          </cell>
          <cell r="E407" t="str">
            <v>S</v>
          </cell>
          <cell r="F407" t="str">
            <v>20060</v>
          </cell>
          <cell r="H407" t="str">
            <v>CR 18 16-68</v>
          </cell>
          <cell r="J407">
            <v>0</v>
          </cell>
          <cell r="L407" t="str">
            <v>9.9723</v>
          </cell>
          <cell r="M407" t="str">
            <v>-73.8858</v>
          </cell>
        </row>
        <row r="408">
          <cell r="C408">
            <v>250392</v>
          </cell>
          <cell r="D408" t="str">
            <v>CM TIENDA LA VICTORIA</v>
          </cell>
          <cell r="E408" t="str">
            <v>S</v>
          </cell>
          <cell r="F408" t="str">
            <v>20570</v>
          </cell>
          <cell r="H408" t="str">
            <v>MZ 8A CASA 5 BARRIO LA VICTORIA</v>
          </cell>
          <cell r="J408">
            <v>0</v>
          </cell>
          <cell r="L408" t="str">
            <v>10.42059166</v>
          </cell>
          <cell r="M408" t="str">
            <v>-73.57618166</v>
          </cell>
        </row>
        <row r="409">
          <cell r="C409">
            <v>41016</v>
          </cell>
          <cell r="D409" t="str">
            <v>CM SAN SEBASTIAN 2</v>
          </cell>
          <cell r="E409" t="str">
            <v>S</v>
          </cell>
          <cell r="F409" t="str">
            <v>20228</v>
          </cell>
          <cell r="G409" t="str">
            <v xml:space="preserve">CM </v>
          </cell>
          <cell r="H409" t="str">
            <v>CL||3|||||#|4||-|5|||</v>
          </cell>
          <cell r="J409">
            <v>120523</v>
          </cell>
          <cell r="L409" t="str">
            <v>9.272707</v>
          </cell>
          <cell r="M409" t="str">
            <v>-73.539238</v>
          </cell>
        </row>
        <row r="410">
          <cell r="C410">
            <v>45325</v>
          </cell>
          <cell r="D410" t="str">
            <v>PDV 23 CON 24</v>
          </cell>
          <cell r="E410" t="str">
            <v>S</v>
          </cell>
          <cell r="F410" t="str">
            <v>20001</v>
          </cell>
          <cell r="H410" t="str">
            <v>CR||23|||||#|24||-|44|||</v>
          </cell>
          <cell r="J410">
            <v>120523</v>
          </cell>
          <cell r="L410" t="str">
            <v>10.4559</v>
          </cell>
          <cell r="M410" t="str">
            <v>-73.2554</v>
          </cell>
        </row>
        <row r="411">
          <cell r="C411">
            <v>45385</v>
          </cell>
          <cell r="D411" t="str">
            <v>TAT SAN FRANCISCO</v>
          </cell>
          <cell r="E411" t="str">
            <v>S</v>
          </cell>
          <cell r="F411" t="str">
            <v>20175</v>
          </cell>
          <cell r="H411" t="str">
            <v>OT||||||||||||||VEREDA SAN FRANCISCO</v>
          </cell>
          <cell r="J411">
            <v>120523</v>
          </cell>
          <cell r="L411" t="str">
            <v>9.352088</v>
          </cell>
          <cell r="M411" t="str">
            <v>-73.884754</v>
          </cell>
        </row>
        <row r="412">
          <cell r="C412">
            <v>45412</v>
          </cell>
          <cell r="D412" t="str">
            <v>CM EL PARAISO</v>
          </cell>
          <cell r="E412" t="str">
            <v>S</v>
          </cell>
          <cell r="F412" t="str">
            <v>20228</v>
          </cell>
          <cell r="H412" t="str">
            <v>CR||16|||||#|11||-|73|||</v>
          </cell>
          <cell r="J412">
            <v>120523</v>
          </cell>
          <cell r="L412" t="str">
            <v>9.203957</v>
          </cell>
          <cell r="M412" t="str">
            <v>-73.542313</v>
          </cell>
        </row>
        <row r="413">
          <cell r="C413">
            <v>45485</v>
          </cell>
          <cell r="D413" t="str">
            <v>CM MANANTIAL</v>
          </cell>
          <cell r="E413" t="str">
            <v>S</v>
          </cell>
          <cell r="F413" t="str">
            <v>20400</v>
          </cell>
          <cell r="H413" t="str">
            <v>CR||1|||||#|6||-|1|SUR||</v>
          </cell>
          <cell r="J413">
            <v>120523</v>
          </cell>
          <cell r="L413" t="str">
            <v>9.5519</v>
          </cell>
          <cell r="M413" t="str">
            <v>-73.3325</v>
          </cell>
        </row>
        <row r="414">
          <cell r="C414">
            <v>8349</v>
          </cell>
          <cell r="D414" t="str">
            <v>PDV AGUAS BLANCA</v>
          </cell>
          <cell r="E414" t="str">
            <v>S</v>
          </cell>
          <cell r="F414" t="str">
            <v>20001</v>
          </cell>
          <cell r="G414" t="str">
            <v xml:space="preserve">PDV </v>
          </cell>
          <cell r="H414" t="str">
            <v>CL||8|||||#|7||-|61|||</v>
          </cell>
          <cell r="J414">
            <v>120523</v>
          </cell>
          <cell r="L414" t="str">
            <v>10.225681</v>
          </cell>
          <cell r="M414" t="str">
            <v>-73.490436</v>
          </cell>
        </row>
        <row r="415">
          <cell r="C415">
            <v>44942</v>
          </cell>
          <cell r="D415" t="str">
            <v xml:space="preserve">CM VARIEDADES MARI </v>
          </cell>
          <cell r="E415" t="str">
            <v>S</v>
          </cell>
          <cell r="F415" t="str">
            <v>20001</v>
          </cell>
          <cell r="H415" t="str">
            <v>OT||||||||||||||MZ 26 CASA 21</v>
          </cell>
          <cell r="J415">
            <v>120523</v>
          </cell>
          <cell r="L415" t="str">
            <v>10.42847523</v>
          </cell>
          <cell r="M415" t="str">
            <v>-73.256887</v>
          </cell>
        </row>
        <row r="416">
          <cell r="C416">
            <v>47067</v>
          </cell>
          <cell r="D416" t="str">
            <v>AMBULANTE LA JAGUA</v>
          </cell>
          <cell r="E416" t="str">
            <v>S</v>
          </cell>
          <cell r="F416" t="str">
            <v>20400</v>
          </cell>
          <cell r="H416" t="str">
            <v>DG||1|||||#|5||-|31|||</v>
          </cell>
          <cell r="J416">
            <v>0</v>
          </cell>
          <cell r="L416" t="str">
            <v>9.5638</v>
          </cell>
          <cell r="M416" t="str">
            <v>-73.3378</v>
          </cell>
        </row>
        <row r="417">
          <cell r="C417">
            <v>250398</v>
          </cell>
          <cell r="D417" t="str">
            <v>CM DROGUERIA VIFARMA</v>
          </cell>
          <cell r="E417" t="str">
            <v>S</v>
          </cell>
          <cell r="F417" t="str">
            <v>20443</v>
          </cell>
          <cell r="H417" t="str">
            <v>CR 6 CL 3-33 CENTRO</v>
          </cell>
          <cell r="J417">
            <v>0</v>
          </cell>
          <cell r="L417" t="str">
            <v>10.39193333</v>
          </cell>
          <cell r="M417" t="str">
            <v>-73.02700666</v>
          </cell>
        </row>
        <row r="418">
          <cell r="C418">
            <v>300007</v>
          </cell>
          <cell r="D418" t="str">
            <v>CM ZAPATOSA</v>
          </cell>
          <cell r="E418" t="str">
            <v>S</v>
          </cell>
          <cell r="F418" t="str">
            <v>20787</v>
          </cell>
          <cell r="H418" t="str">
            <v>CL 1 CR 7-29 BARRIO ZAPATOSA</v>
          </cell>
          <cell r="J418">
            <v>0</v>
          </cell>
          <cell r="L418" t="str">
            <v>9.005770</v>
          </cell>
          <cell r="M418" t="str">
            <v>-73.755616</v>
          </cell>
        </row>
        <row r="419">
          <cell r="C419">
            <v>45109</v>
          </cell>
          <cell r="D419" t="str">
            <v>PDV TRANSV 25 LOS FUNDADORES</v>
          </cell>
          <cell r="E419" t="str">
            <v>S</v>
          </cell>
          <cell r="F419" t="str">
            <v>20001</v>
          </cell>
          <cell r="H419" t="str">
            <v>TR||25|A||||#|18|B|-|26|||</v>
          </cell>
          <cell r="J419">
            <v>120523</v>
          </cell>
          <cell r="L419" t="str">
            <v>10.4569</v>
          </cell>
          <cell r="M419" t="str">
            <v>-73.2625</v>
          </cell>
        </row>
        <row r="420">
          <cell r="C420">
            <v>45110</v>
          </cell>
          <cell r="D420" t="str">
            <v>PDV CIUDADELA 450 AÑOS</v>
          </cell>
          <cell r="E420" t="str">
            <v>S</v>
          </cell>
          <cell r="F420" t="str">
            <v>20001</v>
          </cell>
          <cell r="H420" t="str">
            <v>OT||||||||||||||MZ 56 - 21</v>
          </cell>
          <cell r="J420">
            <v>120523</v>
          </cell>
          <cell r="L420" t="str">
            <v>10.442938</v>
          </cell>
          <cell r="M420" t="str">
            <v>-73.281108</v>
          </cell>
        </row>
        <row r="421">
          <cell r="C421">
            <v>46329</v>
          </cell>
          <cell r="D421" t="str">
            <v>CM LA ESTACIÓN #2</v>
          </cell>
          <cell r="E421" t="str">
            <v>S</v>
          </cell>
          <cell r="F421" t="str">
            <v>20060</v>
          </cell>
          <cell r="H421" t="str">
            <v>CR||24|||||#|9||-|49|||</v>
          </cell>
          <cell r="J421">
            <v>260523</v>
          </cell>
          <cell r="L421" t="str">
            <v>9.9637</v>
          </cell>
          <cell r="M421" t="str">
            <v>-73.8864</v>
          </cell>
        </row>
        <row r="422">
          <cell r="C422">
            <v>47073</v>
          </cell>
          <cell r="D422" t="str">
            <v>AMBULANTE GAMARRA</v>
          </cell>
          <cell r="E422" t="str">
            <v>S</v>
          </cell>
          <cell r="F422" t="str">
            <v>20295</v>
          </cell>
          <cell r="H422" t="str">
            <v>CL||7|||||#|7||-|40|||</v>
          </cell>
          <cell r="J422">
            <v>0</v>
          </cell>
          <cell r="L422" t="str">
            <v>8.32344</v>
          </cell>
          <cell r="M422" t="str">
            <v>-73.74112</v>
          </cell>
        </row>
        <row r="423">
          <cell r="C423">
            <v>47411</v>
          </cell>
          <cell r="D423" t="str">
            <v>CM SAN JOSE</v>
          </cell>
          <cell r="E423" t="str">
            <v>S</v>
          </cell>
          <cell r="F423" t="str">
            <v>20621</v>
          </cell>
          <cell r="H423" t="str">
            <v>CL 3 CR 3-31 APTO 01 SAN JOSE ORIENTE</v>
          </cell>
          <cell r="J423">
            <v>0</v>
          </cell>
          <cell r="L423" t="str">
            <v>10.350346</v>
          </cell>
          <cell r="M423" t="str">
            <v>-73.043936</v>
          </cell>
        </row>
        <row r="424">
          <cell r="C424">
            <v>43859</v>
          </cell>
          <cell r="D424" t="str">
            <v xml:space="preserve">CM EL HOSPITALITO </v>
          </cell>
          <cell r="E424" t="str">
            <v>S</v>
          </cell>
          <cell r="F424" t="str">
            <v>20001</v>
          </cell>
          <cell r="H424" t="str">
            <v>CL||44|||||#|20||-|54|||</v>
          </cell>
          <cell r="J424">
            <v>120523</v>
          </cell>
          <cell r="L424" t="str">
            <v>10.4462</v>
          </cell>
          <cell r="M424" t="str">
            <v>-73.2476</v>
          </cell>
        </row>
        <row r="425">
          <cell r="C425">
            <v>44796</v>
          </cell>
          <cell r="D425" t="str">
            <v xml:space="preserve">TAT LA LOMA </v>
          </cell>
          <cell r="E425" t="str">
            <v>S</v>
          </cell>
          <cell r="F425" t="str">
            <v>20250</v>
          </cell>
          <cell r="H425" t="str">
            <v>CR||6|||||#|10||-|17|||</v>
          </cell>
          <cell r="J425">
            <v>120523</v>
          </cell>
          <cell r="L425" t="str">
            <v>9.623</v>
          </cell>
          <cell r="M425" t="str">
            <v>-73.5874</v>
          </cell>
        </row>
        <row r="426">
          <cell r="C426">
            <v>43595</v>
          </cell>
          <cell r="D426" t="str">
            <v xml:space="preserve"> CM AMANECEVES C45</v>
          </cell>
          <cell r="E426" t="str">
            <v>S</v>
          </cell>
          <cell r="F426" t="str">
            <v>20001</v>
          </cell>
          <cell r="H426" t="str">
            <v>CL||45|||||#|4|A|-|104|||</v>
          </cell>
          <cell r="J426">
            <v>120523</v>
          </cell>
          <cell r="L426" t="str">
            <v>10.4535</v>
          </cell>
          <cell r="M426" t="str">
            <v>-73.2265</v>
          </cell>
        </row>
        <row r="427">
          <cell r="C427">
            <v>46835</v>
          </cell>
          <cell r="D427" t="str">
            <v>CM FARMA NORTE 126</v>
          </cell>
          <cell r="E427" t="str">
            <v>S</v>
          </cell>
          <cell r="F427" t="str">
            <v>20550</v>
          </cell>
          <cell r="H427" t="str">
            <v>CR 8 # 8 -98 BARRIO CARRISAL</v>
          </cell>
          <cell r="J427">
            <v>0</v>
          </cell>
          <cell r="L427" t="str">
            <v>8.689800</v>
          </cell>
          <cell r="M427" t="str">
            <v>-73.663300</v>
          </cell>
        </row>
        <row r="428">
          <cell r="C428">
            <v>46841</v>
          </cell>
          <cell r="D428" t="str">
            <v>CM FARMANORTE 112</v>
          </cell>
          <cell r="E428" t="str">
            <v>S</v>
          </cell>
          <cell r="F428" t="str">
            <v>20001</v>
          </cell>
          <cell r="H428" t="str">
            <v>CL 21 # 5-25 BARRIO VILLA CLARA</v>
          </cell>
          <cell r="J428">
            <v>0</v>
          </cell>
          <cell r="L428" t="str">
            <v>10.464380</v>
          </cell>
          <cell r="M428" t="str">
            <v>-73.239600</v>
          </cell>
        </row>
        <row r="429">
          <cell r="C429">
            <v>47135</v>
          </cell>
          <cell r="D429" t="str">
            <v>AMBULANTE TAMALAMEQUE CLARO</v>
          </cell>
          <cell r="E429" t="str">
            <v>S</v>
          </cell>
          <cell r="F429" t="str">
            <v>20787</v>
          </cell>
          <cell r="H429" t="str">
            <v>CL 5 # 5-93</v>
          </cell>
          <cell r="J429">
            <v>0</v>
          </cell>
          <cell r="L429" t="str">
            <v>8.859786</v>
          </cell>
          <cell r="M429" t="str">
            <v>-73.81008</v>
          </cell>
        </row>
        <row r="430">
          <cell r="C430">
            <v>47136</v>
          </cell>
          <cell r="D430" t="str">
            <v>AMBULANTE TAMALAMEQUE TIGO</v>
          </cell>
          <cell r="E430" t="str">
            <v>S</v>
          </cell>
          <cell r="F430" t="str">
            <v>20787</v>
          </cell>
          <cell r="H430" t="str">
            <v>CL 5 # 5-93</v>
          </cell>
          <cell r="J430">
            <v>0</v>
          </cell>
          <cell r="L430" t="str">
            <v>8.859786</v>
          </cell>
          <cell r="M430" t="str">
            <v>-73.81008</v>
          </cell>
        </row>
        <row r="431">
          <cell r="C431">
            <v>47634</v>
          </cell>
          <cell r="D431" t="str">
            <v xml:space="preserve">AGUACHICA COLOMBIA MAYOR </v>
          </cell>
          <cell r="E431" t="str">
            <v>S</v>
          </cell>
          <cell r="F431" t="str">
            <v>20011</v>
          </cell>
          <cell r="H431" t="str">
            <v>MOVIL</v>
          </cell>
          <cell r="J431">
            <v>0</v>
          </cell>
        </row>
        <row r="432">
          <cell r="C432">
            <v>47640</v>
          </cell>
          <cell r="D432" t="str">
            <v>EL COPEY COLOMBIA MAYOR</v>
          </cell>
          <cell r="E432" t="str">
            <v>S</v>
          </cell>
          <cell r="F432" t="str">
            <v>20238</v>
          </cell>
          <cell r="H432" t="str">
            <v>MOVIL</v>
          </cell>
          <cell r="J432">
            <v>0</v>
          </cell>
        </row>
        <row r="433">
          <cell r="C433">
            <v>47641</v>
          </cell>
          <cell r="D433" t="str">
            <v>PAILITAS COLOMBIA MAYOR</v>
          </cell>
          <cell r="E433" t="str">
            <v>S</v>
          </cell>
          <cell r="F433" t="str">
            <v>20517</v>
          </cell>
          <cell r="H433" t="str">
            <v>MOVIL</v>
          </cell>
          <cell r="J433">
            <v>0</v>
          </cell>
        </row>
        <row r="434">
          <cell r="C434">
            <v>47649</v>
          </cell>
          <cell r="D434" t="str">
            <v>PUEBLO BELLO COLOMBIA MAYOR</v>
          </cell>
          <cell r="E434" t="str">
            <v>S</v>
          </cell>
          <cell r="F434" t="str">
            <v>20570</v>
          </cell>
          <cell r="H434" t="str">
            <v>MOVIL</v>
          </cell>
          <cell r="J434">
            <v>0</v>
          </cell>
        </row>
        <row r="435">
          <cell r="C435">
            <v>47653</v>
          </cell>
          <cell r="D435" t="str">
            <v>LA GLORIA COLOMBIA MAYOR</v>
          </cell>
          <cell r="E435" t="str">
            <v>S</v>
          </cell>
          <cell r="F435" t="str">
            <v>20383</v>
          </cell>
          <cell r="H435" t="str">
            <v>MOVIL</v>
          </cell>
          <cell r="J435">
            <v>0</v>
          </cell>
        </row>
        <row r="436">
          <cell r="C436">
            <v>301029</v>
          </cell>
          <cell r="D436" t="str">
            <v xml:space="preserve">CM EL RECREO </v>
          </cell>
          <cell r="E436" t="str">
            <v>S</v>
          </cell>
          <cell r="F436" t="str">
            <v>20060</v>
          </cell>
          <cell r="H436" t="str">
            <v>CR 19 #17-67 BARRIO EL RECREO</v>
          </cell>
          <cell r="J436">
            <v>0</v>
          </cell>
          <cell r="L436" t="str">
            <v>9.971883</v>
          </cell>
          <cell r="M436" t="str">
            <v>-73.887478</v>
          </cell>
        </row>
        <row r="437">
          <cell r="C437">
            <v>300726</v>
          </cell>
          <cell r="D437" t="str">
            <v>CM LAS 3K LIBANO</v>
          </cell>
          <cell r="E437" t="str">
            <v>S</v>
          </cell>
          <cell r="F437" t="str">
            <v>20710</v>
          </cell>
          <cell r="H437" t="str">
            <v>CL 1 # 1-36 BARRIO EL LIBANO</v>
          </cell>
          <cell r="J437">
            <v>0</v>
          </cell>
          <cell r="L437" t="str">
            <v>7.83742</v>
          </cell>
          <cell r="M437" t="str">
            <v>-73.42864</v>
          </cell>
        </row>
        <row r="438">
          <cell r="C438">
            <v>301012</v>
          </cell>
          <cell r="D438" t="str">
            <v xml:space="preserve">CM LAS DELICIAS </v>
          </cell>
          <cell r="E438" t="str">
            <v>S</v>
          </cell>
          <cell r="F438" t="str">
            <v>20787</v>
          </cell>
          <cell r="H438" t="str">
            <v>CL 9C #8-05 BARRIO KENNEDY</v>
          </cell>
          <cell r="J438">
            <v>0</v>
          </cell>
          <cell r="L438" t="str">
            <v>8.8609466</v>
          </cell>
          <cell r="M438" t="str">
            <v>-73.8115516</v>
          </cell>
        </row>
        <row r="439">
          <cell r="C439">
            <v>300575</v>
          </cell>
          <cell r="D439" t="str">
            <v>CM DENIDIS</v>
          </cell>
          <cell r="E439" t="str">
            <v>S</v>
          </cell>
          <cell r="F439" t="str">
            <v>20013</v>
          </cell>
          <cell r="H439" t="str">
            <v>CR 29 # 30-10 BARRIO BRISAS DE RIO</v>
          </cell>
          <cell r="J439">
            <v>0</v>
          </cell>
          <cell r="L439" t="str">
            <v>10.0428</v>
          </cell>
          <cell r="M439" t="str">
            <v>-73.2288</v>
          </cell>
        </row>
        <row r="440">
          <cell r="C440">
            <v>302588</v>
          </cell>
          <cell r="D440" t="str">
            <v>CM LAS TABLITAS</v>
          </cell>
          <cell r="E440" t="str">
            <v>S</v>
          </cell>
          <cell r="F440" t="str">
            <v>20750</v>
          </cell>
          <cell r="H440" t="str">
            <v>CL 1 BIS # 11-28 BARRIO LA VICTORIA</v>
          </cell>
          <cell r="J440">
            <v>0</v>
          </cell>
          <cell r="L440" t="str">
            <v>10.3328</v>
          </cell>
          <cell r="M440" t="str">
            <v>-73.1867</v>
          </cell>
        </row>
        <row r="441">
          <cell r="C441">
            <v>301134</v>
          </cell>
          <cell r="D441" t="str">
            <v xml:space="preserve">CM GABRIELA </v>
          </cell>
          <cell r="E441" t="str">
            <v>S</v>
          </cell>
          <cell r="F441" t="str">
            <v>20250</v>
          </cell>
          <cell r="H441" t="str">
            <v>CR 9 CL #2-35 BARRIO CENTRO</v>
          </cell>
          <cell r="J441">
            <v>0</v>
          </cell>
          <cell r="L441" t="str">
            <v>9.6168632</v>
          </cell>
          <cell r="M441" t="str">
            <v>-73.5975525</v>
          </cell>
        </row>
        <row r="442">
          <cell r="C442">
            <v>302584</v>
          </cell>
          <cell r="D442" t="str">
            <v>CM MANANTIAL</v>
          </cell>
          <cell r="E442" t="str">
            <v>S</v>
          </cell>
          <cell r="F442" t="str">
            <v>20011</v>
          </cell>
          <cell r="H442" t="str">
            <v>NOA L CASA 1 BARRIO VILLANUEVA</v>
          </cell>
          <cell r="J442">
            <v>0</v>
          </cell>
          <cell r="L442" t="str">
            <v>8.29514</v>
          </cell>
          <cell r="M442" t="str">
            <v>-73.63195</v>
          </cell>
        </row>
        <row r="443">
          <cell r="C443">
            <v>300056</v>
          </cell>
          <cell r="D443" t="str">
            <v>CM DROGUERIA</v>
          </cell>
          <cell r="E443" t="str">
            <v>S</v>
          </cell>
          <cell r="F443" t="str">
            <v>20060</v>
          </cell>
          <cell r="H443" t="str">
            <v>CL 16 CR 14-72 BARRIO SAN MARTIN</v>
          </cell>
          <cell r="J443">
            <v>0</v>
          </cell>
          <cell r="L443" t="str">
            <v>9.974302</v>
          </cell>
          <cell r="M443" t="str">
            <v>-73.881990</v>
          </cell>
        </row>
        <row r="444">
          <cell r="C444">
            <v>300809</v>
          </cell>
          <cell r="D444" t="str">
            <v>CM LINDA</v>
          </cell>
          <cell r="E444" t="str">
            <v>S</v>
          </cell>
          <cell r="F444" t="str">
            <v>20250</v>
          </cell>
          <cell r="H444" t="str">
            <v>CR 7 # 11D-20 BARRIO SAN MARTIN</v>
          </cell>
          <cell r="J444">
            <v>0</v>
          </cell>
          <cell r="L444" t="str">
            <v>9.625326</v>
          </cell>
          <cell r="M444" t="str">
            <v>-73.589332</v>
          </cell>
        </row>
        <row r="445">
          <cell r="C445">
            <v>302562</v>
          </cell>
          <cell r="D445" t="str">
            <v>CM MARIA JULIANA</v>
          </cell>
          <cell r="E445" t="str">
            <v>S</v>
          </cell>
          <cell r="F445" t="str">
            <v>20621</v>
          </cell>
          <cell r="H445" t="str">
            <v>CL 3 # 10-212 BARRIO LOS TRES AMIGOS</v>
          </cell>
          <cell r="J445">
            <v>0</v>
          </cell>
          <cell r="L445" t="str">
            <v>10.3480531</v>
          </cell>
          <cell r="M445" t="str">
            <v>-73.0386028</v>
          </cell>
        </row>
        <row r="446">
          <cell r="C446">
            <v>302564</v>
          </cell>
          <cell r="D446" t="str">
            <v>CM MAIRA</v>
          </cell>
          <cell r="E446" t="str">
            <v>S</v>
          </cell>
          <cell r="F446" t="str">
            <v>20013</v>
          </cell>
          <cell r="H446" t="str">
            <v>CR 14 # 11A-103 BARRIO LAS DELICIAS</v>
          </cell>
          <cell r="J446">
            <v>0</v>
          </cell>
          <cell r="L446" t="str">
            <v>10.032751</v>
          </cell>
          <cell r="M446" t="str">
            <v>-73.234048</v>
          </cell>
        </row>
        <row r="447">
          <cell r="C447">
            <v>300893</v>
          </cell>
          <cell r="D447" t="str">
            <v>CM EL CACIQUE 2</v>
          </cell>
          <cell r="E447" t="str">
            <v>S</v>
          </cell>
          <cell r="F447" t="str">
            <v>20250</v>
          </cell>
          <cell r="H447" t="str">
            <v>CL 12A CR 15-181 BARRIO 8 DE DICIEMBRE</v>
          </cell>
          <cell r="J447">
            <v>0</v>
          </cell>
          <cell r="L447" t="str">
            <v>9.62000708</v>
          </cell>
          <cell r="M447" t="str">
            <v>-73.60163893</v>
          </cell>
        </row>
        <row r="448">
          <cell r="C448">
            <v>301065</v>
          </cell>
          <cell r="D448" t="str">
            <v>CM PRADO GAMARRA</v>
          </cell>
          <cell r="E448" t="str">
            <v>S</v>
          </cell>
          <cell r="F448" t="str">
            <v>20295</v>
          </cell>
          <cell r="H448" t="str">
            <v>KDX 246 BARRIO PRADO GAMARRA</v>
          </cell>
          <cell r="J448">
            <v>0</v>
          </cell>
          <cell r="L448" t="str">
            <v>8.33320</v>
          </cell>
          <cell r="M448" t="str">
            <v>-73.72499</v>
          </cell>
        </row>
        <row r="449">
          <cell r="C449">
            <v>302542</v>
          </cell>
          <cell r="D449" t="str">
            <v>CM VIANE</v>
          </cell>
          <cell r="E449" t="str">
            <v>S</v>
          </cell>
          <cell r="F449" t="str">
            <v>20060</v>
          </cell>
          <cell r="H449" t="str">
            <v>TV 15A # 30-24 BARRIO JORGE ELIECER GAITAN</v>
          </cell>
          <cell r="J449">
            <v>0</v>
          </cell>
          <cell r="L449" t="str">
            <v>9.9833</v>
          </cell>
          <cell r="M449" t="str">
            <v>-73.8884</v>
          </cell>
        </row>
        <row r="450">
          <cell r="C450">
            <v>302581</v>
          </cell>
          <cell r="D450" t="str">
            <v>CM LA OFICINA DE SAM</v>
          </cell>
          <cell r="E450" t="str">
            <v>S</v>
          </cell>
          <cell r="F450" t="str">
            <v>20001</v>
          </cell>
          <cell r="H450" t="str">
            <v>CR 28 # 55-14 BARRIO DON CARMELO</v>
          </cell>
          <cell r="J450">
            <v>0</v>
          </cell>
          <cell r="L450" t="str">
            <v>10.43905</v>
          </cell>
          <cell r="M450" t="str">
            <v>-73.25610</v>
          </cell>
        </row>
        <row r="451">
          <cell r="C451">
            <v>302582</v>
          </cell>
          <cell r="D451" t="str">
            <v>CM 21 DE ENERO</v>
          </cell>
          <cell r="E451" t="str">
            <v>S</v>
          </cell>
          <cell r="F451" t="str">
            <v>20750</v>
          </cell>
          <cell r="H451" t="str">
            <v>CL 2E # 18-5 BARRIO 21 DE ENERO</v>
          </cell>
          <cell r="J451">
            <v>0</v>
          </cell>
          <cell r="L451" t="str">
            <v>10.3274</v>
          </cell>
          <cell r="M451" t="str">
            <v>-73.1841</v>
          </cell>
        </row>
        <row r="452">
          <cell r="C452">
            <v>302141</v>
          </cell>
          <cell r="D452" t="str">
            <v>CM LAS DELICIAS RH</v>
          </cell>
          <cell r="E452" t="str">
            <v>S</v>
          </cell>
          <cell r="F452" t="str">
            <v>20178</v>
          </cell>
          <cell r="H452" t="str">
            <v>CL 11 # 8-10 RINCON HONDO RURAL</v>
          </cell>
          <cell r="J452">
            <v>0</v>
          </cell>
          <cell r="L452" t="str">
            <v>9.39707934</v>
          </cell>
          <cell r="M452" t="str">
            <v>-73.48994630</v>
          </cell>
        </row>
        <row r="453">
          <cell r="C453">
            <v>7016</v>
          </cell>
          <cell r="D453" t="str">
            <v>AMBULANTE MOVISTAR LA PAZ</v>
          </cell>
          <cell r="E453" t="str">
            <v>S</v>
          </cell>
          <cell r="F453" t="str">
            <v>20621</v>
          </cell>
          <cell r="G453" t="str">
            <v xml:space="preserve">AMB </v>
          </cell>
          <cell r="H453" t="str">
            <v>CL||6|||||#|6||-|34|||</v>
          </cell>
          <cell r="J453">
            <v>0</v>
          </cell>
          <cell r="L453" t="str">
            <v>10.386577</v>
          </cell>
          <cell r="M453" t="str">
            <v>-73.170702</v>
          </cell>
        </row>
        <row r="454">
          <cell r="C454">
            <v>7018</v>
          </cell>
          <cell r="D454" t="str">
            <v>OFICINA PRINCIPAL LA PAZ</v>
          </cell>
          <cell r="E454" t="str">
            <v>S</v>
          </cell>
          <cell r="F454" t="str">
            <v>20621</v>
          </cell>
          <cell r="G454" t="str">
            <v xml:space="preserve">CDA </v>
          </cell>
          <cell r="H454" t="str">
            <v>CL||6|||||#|6||-|34|||</v>
          </cell>
          <cell r="J454">
            <v>0</v>
          </cell>
          <cell r="L454" t="str">
            <v>10.386577</v>
          </cell>
          <cell r="M454" t="str">
            <v>-73.170702</v>
          </cell>
        </row>
        <row r="455">
          <cell r="C455">
            <v>7032</v>
          </cell>
          <cell r="D455" t="str">
            <v>AMBULANTE MOVISTAR SAN DIEGO</v>
          </cell>
          <cell r="E455" t="str">
            <v>S</v>
          </cell>
          <cell r="F455" t="str">
            <v>20750</v>
          </cell>
          <cell r="G455" t="str">
            <v xml:space="preserve">AMB </v>
          </cell>
          <cell r="H455" t="str">
            <v>CL||4|||||#|8||-|47|||</v>
          </cell>
          <cell r="J455">
            <v>120523</v>
          </cell>
          <cell r="L455" t="str">
            <v>10.335776</v>
          </cell>
          <cell r="M455" t="str">
            <v>-73.178657</v>
          </cell>
        </row>
        <row r="456">
          <cell r="C456">
            <v>7034</v>
          </cell>
          <cell r="D456" t="str">
            <v>OFICINA PRINCIPAL SAN DIEGO</v>
          </cell>
          <cell r="E456" t="str">
            <v>S</v>
          </cell>
          <cell r="F456" t="str">
            <v>20750</v>
          </cell>
          <cell r="G456" t="str">
            <v xml:space="preserve">CDA </v>
          </cell>
          <cell r="H456" t="str">
            <v>CL||4|||||#|8||-|47|||</v>
          </cell>
          <cell r="J456">
            <v>0</v>
          </cell>
          <cell r="L456" t="str">
            <v>10.335776</v>
          </cell>
          <cell r="M456" t="str">
            <v>-73.178657</v>
          </cell>
        </row>
        <row r="457">
          <cell r="C457">
            <v>7044</v>
          </cell>
          <cell r="D457" t="str">
            <v>AMBULANTE MOVISTAR PELAYA</v>
          </cell>
          <cell r="E457" t="str">
            <v>S</v>
          </cell>
          <cell r="F457" t="str">
            <v>20550</v>
          </cell>
          <cell r="G457" t="str">
            <v xml:space="preserve">AMB </v>
          </cell>
          <cell r="H457" t="str">
            <v>CR||8|||||#|8||-|85|||</v>
          </cell>
          <cell r="J457">
            <v>120523</v>
          </cell>
          <cell r="L457" t="str">
            <v>8.690177</v>
          </cell>
          <cell r="M457" t="str">
            <v>-73.663931</v>
          </cell>
        </row>
        <row r="458">
          <cell r="C458">
            <v>7045</v>
          </cell>
          <cell r="D458" t="str">
            <v>AMBULANTE CLARO PELAYA</v>
          </cell>
          <cell r="E458" t="str">
            <v>S</v>
          </cell>
          <cell r="F458" t="str">
            <v>20550</v>
          </cell>
          <cell r="G458" t="str">
            <v xml:space="preserve">AMB </v>
          </cell>
          <cell r="H458" t="str">
            <v>CR||8|||||#|8||-|85|||</v>
          </cell>
          <cell r="J458">
            <v>120523</v>
          </cell>
          <cell r="L458" t="str">
            <v>8.690177</v>
          </cell>
          <cell r="M458" t="str">
            <v>-73.663931</v>
          </cell>
        </row>
        <row r="459">
          <cell r="C459">
            <v>7097</v>
          </cell>
          <cell r="D459" t="str">
            <v>AMBULANTE CLARO LA GLORIA</v>
          </cell>
          <cell r="E459" t="str">
            <v>S</v>
          </cell>
          <cell r="F459" t="str">
            <v>20383</v>
          </cell>
          <cell r="G459" t="str">
            <v xml:space="preserve">AMB </v>
          </cell>
          <cell r="H459" t="str">
            <v>CR||1|A||||#|1|A|-|9|||</v>
          </cell>
          <cell r="J459">
            <v>120523</v>
          </cell>
          <cell r="L459" t="str">
            <v>8.617435</v>
          </cell>
          <cell r="M459" t="str">
            <v>-73.803569</v>
          </cell>
        </row>
        <row r="460">
          <cell r="C460">
            <v>7098</v>
          </cell>
          <cell r="D460" t="str">
            <v>OFICINA PRINCIPAL LA GLORIA</v>
          </cell>
          <cell r="E460" t="str">
            <v>S</v>
          </cell>
          <cell r="F460" t="str">
            <v>20383</v>
          </cell>
          <cell r="G460" t="str">
            <v xml:space="preserve">CDA </v>
          </cell>
          <cell r="H460" t="str">
            <v>CR||1|A||||#|1|A|-|9|||</v>
          </cell>
          <cell r="J460">
            <v>0</v>
          </cell>
          <cell r="L460" t="str">
            <v>8.617435</v>
          </cell>
          <cell r="M460" t="str">
            <v>-73.803569</v>
          </cell>
        </row>
        <row r="461">
          <cell r="C461">
            <v>7175</v>
          </cell>
          <cell r="D461" t="str">
            <v>CM CORREGIMIENTO COSTILLAS</v>
          </cell>
          <cell r="E461" t="str">
            <v>S</v>
          </cell>
          <cell r="F461" t="str">
            <v>20550</v>
          </cell>
          <cell r="G461" t="str">
            <v xml:space="preserve">CM </v>
          </cell>
          <cell r="H461" t="str">
            <v>CL||3|||||#|3||-|6|||</v>
          </cell>
          <cell r="J461">
            <v>120523</v>
          </cell>
          <cell r="L461" t="str">
            <v>8.73125737</v>
          </cell>
          <cell r="M461" t="str">
            <v>-73.721738</v>
          </cell>
        </row>
        <row r="462">
          <cell r="C462">
            <v>7201</v>
          </cell>
          <cell r="D462" t="str">
            <v>CM TIENDA DOÑA ALEXIS</v>
          </cell>
          <cell r="E462" t="str">
            <v>S</v>
          </cell>
          <cell r="F462" t="str">
            <v>20570</v>
          </cell>
          <cell r="G462" t="str">
            <v>CM</v>
          </cell>
          <cell r="H462" t="str">
            <v>OT|||||||||||||TIENDA|ESQUINA 3</v>
          </cell>
          <cell r="J462">
            <v>0</v>
          </cell>
        </row>
        <row r="463">
          <cell r="C463">
            <v>7218</v>
          </cell>
          <cell r="D463" t="str">
            <v>CM 450 AÑOS</v>
          </cell>
          <cell r="E463" t="str">
            <v>S</v>
          </cell>
          <cell r="F463" t="str">
            <v>20001</v>
          </cell>
          <cell r="G463" t="str">
            <v>CM</v>
          </cell>
          <cell r="H463" t="str">
            <v>OT|||||||||||||SECTOR 1|MZ 34-26</v>
          </cell>
          <cell r="J463">
            <v>0</v>
          </cell>
        </row>
        <row r="464">
          <cell r="C464">
            <v>7238</v>
          </cell>
          <cell r="D464" t="str">
            <v>PDV MERCADO</v>
          </cell>
          <cell r="E464" t="str">
            <v>S</v>
          </cell>
          <cell r="F464" t="str">
            <v>20001</v>
          </cell>
          <cell r="G464" t="str">
            <v xml:space="preserve">PDV </v>
          </cell>
          <cell r="H464" t="str">
            <v>CR||15|||||#|20|B|-|41|||</v>
          </cell>
          <cell r="J464">
            <v>120523</v>
          </cell>
          <cell r="L464" t="str">
            <v>10.4658</v>
          </cell>
          <cell r="M464" t="str">
            <v>-73.2467</v>
          </cell>
        </row>
        <row r="465">
          <cell r="C465">
            <v>7050</v>
          </cell>
          <cell r="D465" t="str">
            <v>OFICINA PRINCIPAL PAILITAS</v>
          </cell>
          <cell r="E465" t="str">
            <v>S</v>
          </cell>
          <cell r="F465" t="str">
            <v>20517</v>
          </cell>
          <cell r="G465" t="str">
            <v xml:space="preserve">CDA </v>
          </cell>
          <cell r="H465" t="str">
            <v>CR||6|||||#|5||-|67|||</v>
          </cell>
          <cell r="J465">
            <v>0</v>
          </cell>
          <cell r="L465" t="str">
            <v>8.95657</v>
          </cell>
          <cell r="M465" t="str">
            <v>-73.6241</v>
          </cell>
        </row>
        <row r="466">
          <cell r="C466">
            <v>7053</v>
          </cell>
          <cell r="D466" t="str">
            <v>AMBULANTE CLARO TAMALAMEQUE</v>
          </cell>
          <cell r="E466" t="str">
            <v>S</v>
          </cell>
          <cell r="F466" t="str">
            <v>20787</v>
          </cell>
          <cell r="G466" t="str">
            <v xml:space="preserve">AMB </v>
          </cell>
          <cell r="H466" t="str">
            <v>CL||5|||||#|5||-|93|||</v>
          </cell>
          <cell r="J466">
            <v>120523</v>
          </cell>
          <cell r="L466" t="str">
            <v>8.859786</v>
          </cell>
          <cell r="M466" t="str">
            <v>-73.81008</v>
          </cell>
        </row>
        <row r="467">
          <cell r="C467">
            <v>7055</v>
          </cell>
          <cell r="D467" t="str">
            <v>AMBULANTE TIGO CODAZZI</v>
          </cell>
          <cell r="E467" t="str">
            <v>S</v>
          </cell>
          <cell r="F467" t="str">
            <v>20013</v>
          </cell>
          <cell r="G467" t="str">
            <v xml:space="preserve">AMB </v>
          </cell>
          <cell r="H467" t="str">
            <v>CL||17|||||#|15||-|111|||</v>
          </cell>
          <cell r="J467">
            <v>0</v>
          </cell>
          <cell r="L467" t="str">
            <v>10.03699</v>
          </cell>
          <cell r="M467" t="str">
            <v>-73.23657</v>
          </cell>
        </row>
        <row r="468">
          <cell r="C468">
            <v>7060</v>
          </cell>
          <cell r="D468" t="str">
            <v>AMBULANTE MOVISTAR PUEB BELLO</v>
          </cell>
          <cell r="E468" t="str">
            <v>S</v>
          </cell>
          <cell r="F468" t="str">
            <v>20570</v>
          </cell>
          <cell r="G468" t="str">
            <v xml:space="preserve">AMB </v>
          </cell>
          <cell r="H468" t="str">
            <v>CL||9|||||#|4||-|169|||</v>
          </cell>
          <cell r="J468">
            <v>120523</v>
          </cell>
          <cell r="L468" t="str">
            <v>10.412562</v>
          </cell>
          <cell r="M468" t="str">
            <v>-73.590992</v>
          </cell>
        </row>
        <row r="469">
          <cell r="C469">
            <v>7074</v>
          </cell>
          <cell r="D469" t="str">
            <v>OFICINA PRINCIPAL LA JAGUA</v>
          </cell>
          <cell r="E469" t="str">
            <v>S</v>
          </cell>
          <cell r="F469" t="str">
            <v>20400</v>
          </cell>
          <cell r="G469" t="str">
            <v xml:space="preserve">CDA </v>
          </cell>
          <cell r="H469" t="str">
            <v>DG||1|||||#|5||-|31|||</v>
          </cell>
          <cell r="J469">
            <v>120523</v>
          </cell>
          <cell r="L469" t="str">
            <v>9.5638</v>
          </cell>
          <cell r="M469" t="str">
            <v>-73.3378</v>
          </cell>
        </row>
        <row r="470">
          <cell r="C470">
            <v>7075</v>
          </cell>
          <cell r="D470" t="str">
            <v>AMBULANTE TIGO BECERRIL</v>
          </cell>
          <cell r="E470" t="str">
            <v>S</v>
          </cell>
          <cell r="F470" t="str">
            <v>20045</v>
          </cell>
          <cell r="G470" t="str">
            <v>AMB</v>
          </cell>
          <cell r="H470" t="str">
            <v>CL||9|||||#|3||-|77|||</v>
          </cell>
          <cell r="J470">
            <v>0</v>
          </cell>
        </row>
        <row r="471">
          <cell r="C471">
            <v>7079</v>
          </cell>
          <cell r="D471" t="str">
            <v>AMBULANTE TIGO EL COPEY</v>
          </cell>
          <cell r="E471" t="str">
            <v>S</v>
          </cell>
          <cell r="F471" t="str">
            <v>20238</v>
          </cell>
          <cell r="G471" t="str">
            <v xml:space="preserve">AMB </v>
          </cell>
          <cell r="H471" t="str">
            <v>CR||14|||||#|8|A|-|100|||</v>
          </cell>
          <cell r="J471">
            <v>120523</v>
          </cell>
          <cell r="L471" t="str">
            <v>10.148414</v>
          </cell>
          <cell r="M471" t="str">
            <v>-73.959515</v>
          </cell>
        </row>
        <row r="472">
          <cell r="C472">
            <v>7082</v>
          </cell>
          <cell r="D472" t="str">
            <v>OFICINA PRINCIPAL EL COPEY</v>
          </cell>
          <cell r="E472" t="str">
            <v>S</v>
          </cell>
          <cell r="F472" t="str">
            <v>20238</v>
          </cell>
          <cell r="G472" t="str">
            <v xml:space="preserve">CDA </v>
          </cell>
          <cell r="H472" t="str">
            <v>CR||14|||||#|8|A|-|100|||</v>
          </cell>
          <cell r="J472">
            <v>0</v>
          </cell>
          <cell r="L472" t="str">
            <v>10.148414</v>
          </cell>
          <cell r="M472" t="str">
            <v>-73.959515</v>
          </cell>
        </row>
        <row r="473">
          <cell r="C473">
            <v>8358</v>
          </cell>
          <cell r="D473" t="str">
            <v>PDV LA NEVADA 4</v>
          </cell>
          <cell r="E473" t="str">
            <v>S</v>
          </cell>
          <cell r="F473" t="str">
            <v>20001</v>
          </cell>
          <cell r="G473" t="str">
            <v xml:space="preserve">PDV </v>
          </cell>
          <cell r="H473" t="str">
            <v>CL||7|A||||#|38||-|87|||</v>
          </cell>
          <cell r="J473">
            <v>120523</v>
          </cell>
          <cell r="L473" t="str">
            <v>10.4795116</v>
          </cell>
          <cell r="M473" t="str">
            <v>-73.288231</v>
          </cell>
        </row>
        <row r="474">
          <cell r="C474">
            <v>9080</v>
          </cell>
          <cell r="D474" t="str">
            <v>PDV PIÑATERIA YANI</v>
          </cell>
          <cell r="E474" t="str">
            <v>S</v>
          </cell>
          <cell r="F474" t="str">
            <v>20001</v>
          </cell>
          <cell r="G474" t="str">
            <v xml:space="preserve">PDV </v>
          </cell>
          <cell r="H474" t="str">
            <v>OT||||||||||||||MZ 13 CASA 1</v>
          </cell>
          <cell r="J474">
            <v>120523</v>
          </cell>
          <cell r="L474" t="str">
            <v>10.448738</v>
          </cell>
          <cell r="M474" t="str">
            <v>-73.274652</v>
          </cell>
        </row>
        <row r="475">
          <cell r="C475">
            <v>8775</v>
          </cell>
          <cell r="D475" t="str">
            <v>CM YUDIBET</v>
          </cell>
          <cell r="E475" t="str">
            <v>S</v>
          </cell>
          <cell r="F475" t="str">
            <v>20621</v>
          </cell>
          <cell r="G475" t="str">
            <v>CM</v>
          </cell>
          <cell r="H475" t="str">
            <v xml:space="preserve">CR 2  49 - 72 </v>
          </cell>
          <cell r="J475">
            <v>0</v>
          </cell>
        </row>
        <row r="476">
          <cell r="C476">
            <v>8899</v>
          </cell>
          <cell r="D476" t="str">
            <v>CM EL PROFE</v>
          </cell>
          <cell r="E476" t="str">
            <v>S</v>
          </cell>
          <cell r="F476" t="str">
            <v>20060</v>
          </cell>
          <cell r="G476" t="str">
            <v>CM</v>
          </cell>
          <cell r="H476" t="str">
            <v>CR 15 CL 14 - 64 AP 01</v>
          </cell>
          <cell r="J476">
            <v>0</v>
          </cell>
        </row>
        <row r="477">
          <cell r="C477">
            <v>8581</v>
          </cell>
          <cell r="D477" t="str">
            <v>BETPLAY</v>
          </cell>
          <cell r="E477" t="str">
            <v>S</v>
          </cell>
          <cell r="F477" t="str">
            <v>20250</v>
          </cell>
          <cell r="G477" t="str">
            <v>AMB</v>
          </cell>
          <cell r="H477" t="str">
            <v>CR 4  4 - 91</v>
          </cell>
          <cell r="J477">
            <v>0</v>
          </cell>
        </row>
        <row r="478">
          <cell r="C478">
            <v>8450</v>
          </cell>
          <cell r="D478" t="str">
            <v>PDV EL DANGOND</v>
          </cell>
          <cell r="E478" t="str">
            <v>S</v>
          </cell>
          <cell r="F478" t="str">
            <v>20001</v>
          </cell>
          <cell r="G478" t="str">
            <v xml:space="preserve">PDV </v>
          </cell>
          <cell r="H478" t="str">
            <v>TR||29|||||#|18|A|-|34|||</v>
          </cell>
          <cell r="J478">
            <v>120523</v>
          </cell>
          <cell r="L478" t="str">
            <v>10.465513</v>
          </cell>
          <cell r="M478" t="str">
            <v>-73.259834</v>
          </cell>
        </row>
        <row r="479">
          <cell r="C479">
            <v>8067</v>
          </cell>
          <cell r="D479" t="str">
            <v>CM PEPE CASTRO</v>
          </cell>
          <cell r="E479" t="str">
            <v>S</v>
          </cell>
          <cell r="F479" t="str">
            <v>20443</v>
          </cell>
          <cell r="G479" t="str">
            <v xml:space="preserve">CM </v>
          </cell>
          <cell r="H479" t="str">
            <v>CL||6|||||#|6||-|34|||</v>
          </cell>
          <cell r="J479">
            <v>120523</v>
          </cell>
          <cell r="L479" t="str">
            <v>10.39205</v>
          </cell>
          <cell r="M479" t="str">
            <v>-73.034433</v>
          </cell>
        </row>
        <row r="480">
          <cell r="C480">
            <v>8068</v>
          </cell>
          <cell r="D480" t="str">
            <v>CM ALM Y PELUQUERIA TU ESTILO</v>
          </cell>
          <cell r="E480" t="str">
            <v>S</v>
          </cell>
          <cell r="F480" t="str">
            <v>20060</v>
          </cell>
          <cell r="G480" t="str">
            <v>CM</v>
          </cell>
          <cell r="H480" t="str">
            <v>VALLE 18 18A-50 CRUCE</v>
          </cell>
          <cell r="J480">
            <v>0</v>
          </cell>
        </row>
        <row r="481">
          <cell r="C481">
            <v>8447</v>
          </cell>
          <cell r="D481" t="str">
            <v>CM COREGIMIENTO MARIANGOLA</v>
          </cell>
          <cell r="E481" t="str">
            <v>S</v>
          </cell>
          <cell r="F481" t="str">
            <v>20001</v>
          </cell>
          <cell r="G481" t="str">
            <v>CM</v>
          </cell>
          <cell r="H481" t="str">
            <v>CL 5  5 - 29</v>
          </cell>
          <cell r="J481">
            <v>0</v>
          </cell>
        </row>
        <row r="482">
          <cell r="C482">
            <v>7124</v>
          </cell>
          <cell r="D482" t="str">
            <v>CDA OFICINA LA NEVADA</v>
          </cell>
          <cell r="E482" t="str">
            <v>S</v>
          </cell>
          <cell r="F482" t="str">
            <v>20001</v>
          </cell>
          <cell r="G482" t="str">
            <v xml:space="preserve">CDA </v>
          </cell>
          <cell r="H482" t="str">
            <v>CL||6|||||#|42||-|43|||</v>
          </cell>
          <cell r="J482">
            <v>120523</v>
          </cell>
          <cell r="L482" t="str">
            <v>10.476949</v>
          </cell>
          <cell r="M482" t="str">
            <v>-73.283408</v>
          </cell>
        </row>
        <row r="483">
          <cell r="C483">
            <v>8191</v>
          </cell>
          <cell r="D483" t="str">
            <v>CM BATALLON</v>
          </cell>
          <cell r="E483" t="str">
            <v>S</v>
          </cell>
          <cell r="F483" t="str">
            <v>20001</v>
          </cell>
          <cell r="G483" t="str">
            <v>CM</v>
          </cell>
          <cell r="H483" t="str">
            <v>PLAZA CENTRAL LOCAL 6 NEVADA</v>
          </cell>
          <cell r="J483">
            <v>0</v>
          </cell>
        </row>
        <row r="484">
          <cell r="C484">
            <v>7129</v>
          </cell>
          <cell r="D484" t="str">
            <v>CDA OFICINA TERMINAL</v>
          </cell>
          <cell r="E484" t="str">
            <v>S</v>
          </cell>
          <cell r="F484" t="str">
            <v>20001</v>
          </cell>
          <cell r="G484" t="str">
            <v xml:space="preserve">CDA </v>
          </cell>
          <cell r="H484" t="str">
            <v>CR 7A N 44-126</v>
          </cell>
          <cell r="J484">
            <v>0</v>
          </cell>
          <cell r="L484" t="str">
            <v>10.4448</v>
          </cell>
          <cell r="M484" t="str">
            <v>-73.2433</v>
          </cell>
        </row>
        <row r="485">
          <cell r="C485">
            <v>7122</v>
          </cell>
          <cell r="D485" t="str">
            <v>CDA LOPERENA SUPER ENVIOS PPAL</v>
          </cell>
          <cell r="E485" t="str">
            <v>S</v>
          </cell>
          <cell r="F485" t="str">
            <v>20001</v>
          </cell>
          <cell r="G485" t="str">
            <v xml:space="preserve">CDA </v>
          </cell>
          <cell r="H485" t="str">
            <v>CL||6|A||||#|9||-|63|||</v>
          </cell>
          <cell r="J485">
            <v>120523</v>
          </cell>
          <cell r="L485" t="str">
            <v>10.4742</v>
          </cell>
          <cell r="M485" t="str">
            <v>-73.2471</v>
          </cell>
        </row>
        <row r="486">
          <cell r="C486">
            <v>8799</v>
          </cell>
          <cell r="D486" t="str">
            <v>TESORERIA BNET AGUACHICA</v>
          </cell>
          <cell r="E486" t="str">
            <v>S</v>
          </cell>
          <cell r="F486" t="str">
            <v>20011</v>
          </cell>
          <cell r="G486" t="str">
            <v xml:space="preserve">SC </v>
          </cell>
          <cell r="J486">
            <v>0</v>
          </cell>
        </row>
        <row r="487">
          <cell r="C487">
            <v>8825</v>
          </cell>
          <cell r="D487" t="str">
            <v xml:space="preserve">CM LA SIERRITA 2 </v>
          </cell>
          <cell r="E487" t="str">
            <v>S</v>
          </cell>
          <cell r="F487" t="str">
            <v>20178</v>
          </cell>
          <cell r="G487" t="str">
            <v xml:space="preserve">CM </v>
          </cell>
          <cell r="H487" t="str">
            <v>CL||4|||||#|2||-|33|||</v>
          </cell>
          <cell r="J487">
            <v>120523</v>
          </cell>
          <cell r="L487" t="str">
            <v>9.3705</v>
          </cell>
          <cell r="M487" t="str">
            <v>-73.5235</v>
          </cell>
        </row>
        <row r="488">
          <cell r="C488">
            <v>8105</v>
          </cell>
          <cell r="D488" t="str">
            <v>CM PONAL</v>
          </cell>
          <cell r="E488" t="str">
            <v>S</v>
          </cell>
          <cell r="F488" t="str">
            <v>20001</v>
          </cell>
          <cell r="G488" t="str">
            <v>CM</v>
          </cell>
          <cell r="H488" t="str">
            <v>CR 7A 23-139 12 DE OCTUBRE</v>
          </cell>
          <cell r="J488">
            <v>0</v>
          </cell>
        </row>
        <row r="489">
          <cell r="C489">
            <v>8175</v>
          </cell>
          <cell r="D489" t="str">
            <v>CM CANDELARIA SUR</v>
          </cell>
          <cell r="E489" t="str">
            <v>S</v>
          </cell>
          <cell r="F489" t="str">
            <v>20001</v>
          </cell>
          <cell r="G489" t="str">
            <v>CM</v>
          </cell>
          <cell r="H489" t="str">
            <v>CL 23 4-26 CANDELARIA</v>
          </cell>
          <cell r="J489">
            <v>0</v>
          </cell>
        </row>
        <row r="490">
          <cell r="C490">
            <v>8183</v>
          </cell>
          <cell r="D490" t="str">
            <v>CM LAS PALMITAS (VEREDA)</v>
          </cell>
          <cell r="E490" t="str">
            <v>S</v>
          </cell>
          <cell r="F490" t="str">
            <v>20400</v>
          </cell>
          <cell r="G490" t="str">
            <v>CM</v>
          </cell>
          <cell r="H490" t="str">
            <v>CALLE 12 N 3-60</v>
          </cell>
          <cell r="J490">
            <v>0</v>
          </cell>
        </row>
        <row r="491">
          <cell r="C491">
            <v>8266</v>
          </cell>
          <cell r="D491" t="str">
            <v>CM COREGIMIENTO PUERTO PATIÑO</v>
          </cell>
          <cell r="E491" t="str">
            <v>S</v>
          </cell>
          <cell r="F491" t="str">
            <v>20011</v>
          </cell>
          <cell r="G491" t="str">
            <v>CM</v>
          </cell>
          <cell r="H491" t="str">
            <v xml:space="preserve">KM 37 </v>
          </cell>
          <cell r="J491">
            <v>0</v>
          </cell>
        </row>
        <row r="492">
          <cell r="C492">
            <v>9037</v>
          </cell>
          <cell r="D492" t="str">
            <v>CM EL MARQUEZ 2</v>
          </cell>
          <cell r="E492" t="str">
            <v>S</v>
          </cell>
          <cell r="F492" t="str">
            <v>20614</v>
          </cell>
          <cell r="G492" t="str">
            <v xml:space="preserve">CM </v>
          </cell>
          <cell r="H492" t="str">
            <v>OT||||||||||||||CA 34 URB BRISA DEL CESAR</v>
          </cell>
          <cell r="J492">
            <v>120523</v>
          </cell>
          <cell r="L492" t="str">
            <v>8.11082833</v>
          </cell>
          <cell r="M492" t="str">
            <v>-73.588813</v>
          </cell>
        </row>
        <row r="493">
          <cell r="C493">
            <v>7231</v>
          </cell>
          <cell r="D493" t="str">
            <v>PDV CORREGIMIENTO LAS VEGAS</v>
          </cell>
          <cell r="E493" t="str">
            <v>S</v>
          </cell>
          <cell r="F493" t="str">
            <v>20517</v>
          </cell>
          <cell r="G493" t="str">
            <v xml:space="preserve">PDV </v>
          </cell>
          <cell r="H493" t="str">
            <v>CL||8|||||#|8||-|103|||</v>
          </cell>
          <cell r="J493">
            <v>120523</v>
          </cell>
          <cell r="L493" t="str">
            <v>8.0792708</v>
          </cell>
          <cell r="M493" t="str">
            <v>-73.6509697</v>
          </cell>
        </row>
        <row r="494">
          <cell r="C494">
            <v>8502</v>
          </cell>
          <cell r="D494" t="str">
            <v>CM VARIEDADES ALANA</v>
          </cell>
          <cell r="E494" t="str">
            <v>S</v>
          </cell>
          <cell r="F494" t="str">
            <v>20060</v>
          </cell>
          <cell r="G494" t="str">
            <v>CM</v>
          </cell>
          <cell r="H494" t="str">
            <v>CL 1  1-39</v>
          </cell>
          <cell r="J494">
            <v>0</v>
          </cell>
        </row>
        <row r="495">
          <cell r="C495">
            <v>8077</v>
          </cell>
          <cell r="D495" t="str">
            <v>CM TIENDA EL PANDA</v>
          </cell>
          <cell r="E495" t="str">
            <v>S</v>
          </cell>
          <cell r="F495" t="str">
            <v>20011</v>
          </cell>
          <cell r="G495" t="str">
            <v>CM</v>
          </cell>
          <cell r="H495" t="str">
            <v>CRA 8 5B-80</v>
          </cell>
          <cell r="J495">
            <v>0</v>
          </cell>
        </row>
        <row r="496">
          <cell r="C496">
            <v>8260</v>
          </cell>
          <cell r="D496" t="str">
            <v>PDV HOSPITAL COPEY</v>
          </cell>
          <cell r="E496" t="str">
            <v>S</v>
          </cell>
          <cell r="F496" t="str">
            <v>20238</v>
          </cell>
          <cell r="G496" t="str">
            <v xml:space="preserve">PDV </v>
          </cell>
          <cell r="H496" t="str">
            <v>CL||18|||||#|12||-|31|||</v>
          </cell>
          <cell r="J496">
            <v>120523</v>
          </cell>
          <cell r="L496" t="str">
            <v>10.147404</v>
          </cell>
          <cell r="M496" t="str">
            <v>-73.966028</v>
          </cell>
        </row>
        <row r="497">
          <cell r="C497">
            <v>8286</v>
          </cell>
          <cell r="D497" t="str">
            <v xml:space="preserve">CM BARRIO LAS AMERICA </v>
          </cell>
          <cell r="E497" t="str">
            <v>S</v>
          </cell>
          <cell r="F497" t="str">
            <v>20550</v>
          </cell>
          <cell r="G497" t="str">
            <v>CM</v>
          </cell>
          <cell r="H497" t="str">
            <v>CALLE 6 N 14 - 39</v>
          </cell>
          <cell r="J497">
            <v>0</v>
          </cell>
        </row>
        <row r="498">
          <cell r="C498">
            <v>8320</v>
          </cell>
          <cell r="D498" t="str">
            <v>CM LA ESTACION</v>
          </cell>
          <cell r="E498" t="str">
            <v>S</v>
          </cell>
          <cell r="F498" t="str">
            <v>20178</v>
          </cell>
          <cell r="G498" t="str">
            <v>CM</v>
          </cell>
          <cell r="H498" t="str">
            <v>CALLE 1 N 2 - 40</v>
          </cell>
          <cell r="J498">
            <v>0</v>
          </cell>
        </row>
        <row r="499">
          <cell r="C499">
            <v>8354</v>
          </cell>
          <cell r="D499" t="str">
            <v>CM SERVICOM PART</v>
          </cell>
          <cell r="E499" t="str">
            <v>S</v>
          </cell>
          <cell r="F499" t="str">
            <v>20001</v>
          </cell>
          <cell r="G499" t="str">
            <v>CM</v>
          </cell>
          <cell r="H499" t="str">
            <v>CL 16B N 10 - 30</v>
          </cell>
          <cell r="J499">
            <v>0</v>
          </cell>
        </row>
        <row r="500">
          <cell r="C500">
            <v>8360</v>
          </cell>
          <cell r="D500" t="str">
            <v>CM COCELCO</v>
          </cell>
          <cell r="E500" t="str">
            <v>S</v>
          </cell>
          <cell r="F500" t="str">
            <v>20013</v>
          </cell>
          <cell r="G500" t="str">
            <v>CM</v>
          </cell>
          <cell r="H500" t="str">
            <v>CRA 16 N 13 - 23</v>
          </cell>
          <cell r="J500">
            <v>0</v>
          </cell>
        </row>
        <row r="501">
          <cell r="C501">
            <v>8417</v>
          </cell>
          <cell r="D501" t="str">
            <v>CM ESTADERO TIO BETO</v>
          </cell>
          <cell r="E501" t="str">
            <v>S</v>
          </cell>
          <cell r="F501" t="str">
            <v>20001</v>
          </cell>
          <cell r="G501" t="str">
            <v>CM</v>
          </cell>
          <cell r="H501" t="str">
            <v>CR 4  7A - 17</v>
          </cell>
          <cell r="J501">
            <v>0</v>
          </cell>
        </row>
        <row r="502">
          <cell r="C502">
            <v>8418</v>
          </cell>
          <cell r="D502" t="str">
            <v>CM TIENDA LIDIBETH</v>
          </cell>
          <cell r="E502" t="str">
            <v>S</v>
          </cell>
          <cell r="F502" t="str">
            <v>20001</v>
          </cell>
          <cell r="G502" t="str">
            <v>CM</v>
          </cell>
          <cell r="H502" t="str">
            <v>TR 25A  18A - 3 AP 01</v>
          </cell>
          <cell r="J502">
            <v>0</v>
          </cell>
        </row>
        <row r="503">
          <cell r="C503">
            <v>8423</v>
          </cell>
          <cell r="D503" t="str">
            <v>CM FRITO LAY</v>
          </cell>
          <cell r="E503" t="str">
            <v>S</v>
          </cell>
          <cell r="F503" t="str">
            <v>20001</v>
          </cell>
          <cell r="G503" t="str">
            <v>CM</v>
          </cell>
          <cell r="H503" t="str">
            <v>CR 16  28 - 18</v>
          </cell>
          <cell r="J503">
            <v>0</v>
          </cell>
        </row>
        <row r="504">
          <cell r="C504">
            <v>8428</v>
          </cell>
          <cell r="D504" t="str">
            <v>CM SIVERPLAY ROSANDRES</v>
          </cell>
          <cell r="E504" t="str">
            <v>S</v>
          </cell>
          <cell r="F504" t="str">
            <v>20001</v>
          </cell>
          <cell r="G504" t="str">
            <v>CM</v>
          </cell>
          <cell r="H504" t="str">
            <v>DG 16C  23 - 55</v>
          </cell>
          <cell r="J504">
            <v>0</v>
          </cell>
        </row>
        <row r="505">
          <cell r="C505">
            <v>8106</v>
          </cell>
          <cell r="D505" t="str">
            <v>CM DIAGONAL 18A</v>
          </cell>
          <cell r="E505" t="str">
            <v>S</v>
          </cell>
          <cell r="F505" t="str">
            <v>20001</v>
          </cell>
          <cell r="G505" t="str">
            <v>CM</v>
          </cell>
          <cell r="H505" t="str">
            <v>DIAGONAL 18A 23-13</v>
          </cell>
          <cell r="J505">
            <v>0</v>
          </cell>
        </row>
        <row r="506">
          <cell r="C506">
            <v>8571</v>
          </cell>
          <cell r="D506" t="str">
            <v xml:space="preserve">CM PALESTINA 2 </v>
          </cell>
          <cell r="E506" t="str">
            <v>S</v>
          </cell>
          <cell r="F506" t="str">
            <v>20787</v>
          </cell>
          <cell r="G506" t="str">
            <v>CM</v>
          </cell>
          <cell r="H506" t="str">
            <v>CR 3 1 - 98</v>
          </cell>
          <cell r="J506">
            <v>0</v>
          </cell>
        </row>
        <row r="507">
          <cell r="C507">
            <v>17072</v>
          </cell>
          <cell r="D507" t="str">
            <v xml:space="preserve">PDV TOTTO </v>
          </cell>
          <cell r="E507" t="str">
            <v>S</v>
          </cell>
          <cell r="F507" t="str">
            <v>20250</v>
          </cell>
          <cell r="G507" t="str">
            <v xml:space="preserve">PDV </v>
          </cell>
          <cell r="H507" t="str">
            <v>CL||4|||||#|7||-|92|||</v>
          </cell>
          <cell r="J507">
            <v>120523</v>
          </cell>
          <cell r="L507" t="str">
            <v>9.6185</v>
          </cell>
          <cell r="M507" t="str">
            <v>-73.5977</v>
          </cell>
        </row>
        <row r="508">
          <cell r="C508">
            <v>16899</v>
          </cell>
          <cell r="D508" t="str">
            <v>PDV EL CRUCE</v>
          </cell>
          <cell r="E508" t="str">
            <v>S</v>
          </cell>
          <cell r="F508" t="str">
            <v>20060</v>
          </cell>
          <cell r="G508" t="str">
            <v xml:space="preserve">PDV </v>
          </cell>
          <cell r="H508" t="str">
            <v>CR||18|||||#|17||-|35|||</v>
          </cell>
          <cell r="J508">
            <v>120523</v>
          </cell>
          <cell r="L508" t="str">
            <v>9.9738</v>
          </cell>
          <cell r="M508" t="str">
            <v>-73.8866</v>
          </cell>
        </row>
        <row r="509">
          <cell r="C509">
            <v>17019</v>
          </cell>
          <cell r="D509" t="str">
            <v>PDV EL CRUCE CHIRIGUANA</v>
          </cell>
          <cell r="E509" t="str">
            <v>S</v>
          </cell>
          <cell r="F509" t="str">
            <v>20178</v>
          </cell>
          <cell r="G509" t="str">
            <v xml:space="preserve">PDV </v>
          </cell>
          <cell r="H509" t="str">
            <v>CL||5|||||#|12||-|40|||</v>
          </cell>
          <cell r="J509">
            <v>120523</v>
          </cell>
          <cell r="L509" t="str">
            <v>9.371</v>
          </cell>
          <cell r="M509" t="str">
            <v>-73.5334</v>
          </cell>
        </row>
        <row r="510">
          <cell r="C510">
            <v>17071</v>
          </cell>
          <cell r="D510" t="str">
            <v xml:space="preserve">PDV EL PARQUE </v>
          </cell>
          <cell r="E510" t="str">
            <v>S</v>
          </cell>
          <cell r="F510" t="str">
            <v>20400</v>
          </cell>
          <cell r="G510" t="str">
            <v xml:space="preserve">PDV </v>
          </cell>
          <cell r="H510" t="str">
            <v>CR||4|||||#|7|B|-|53|||</v>
          </cell>
          <cell r="J510">
            <v>120523</v>
          </cell>
          <cell r="L510" t="str">
            <v>9.561703</v>
          </cell>
          <cell r="M510" t="str">
            <v>-73.333256</v>
          </cell>
        </row>
        <row r="511">
          <cell r="C511">
            <v>17370</v>
          </cell>
          <cell r="D511" t="str">
            <v>CM VARAS BLANCA</v>
          </cell>
          <cell r="E511" t="str">
            <v>S</v>
          </cell>
          <cell r="F511" t="str">
            <v>20621</v>
          </cell>
          <cell r="G511" t="str">
            <v xml:space="preserve">CM </v>
          </cell>
          <cell r="H511" t="str">
            <v xml:space="preserve">OT||||||||||||||CALLE CENTRAL </v>
          </cell>
          <cell r="J511">
            <v>120523</v>
          </cell>
          <cell r="L511" t="str">
            <v>10.423333</v>
          </cell>
          <cell r="M511" t="str">
            <v>-73.15197</v>
          </cell>
        </row>
        <row r="512">
          <cell r="C512">
            <v>7159</v>
          </cell>
          <cell r="D512" t="str">
            <v xml:space="preserve">PDV LA CUARTA </v>
          </cell>
          <cell r="E512" t="str">
            <v>S</v>
          </cell>
          <cell r="F512" t="str">
            <v>20001</v>
          </cell>
          <cell r="G512" t="str">
            <v xml:space="preserve">PDV </v>
          </cell>
          <cell r="H512" t="str">
            <v>CR||4|||||#|27||-|15|||</v>
          </cell>
          <cell r="J512">
            <v>120523</v>
          </cell>
          <cell r="L512" t="str">
            <v>10.463</v>
          </cell>
          <cell r="M512" t="str">
            <v>-73.2303</v>
          </cell>
        </row>
        <row r="513">
          <cell r="C513">
            <v>20191</v>
          </cell>
          <cell r="D513" t="str">
            <v>CM MILETEE</v>
          </cell>
          <cell r="E513" t="str">
            <v>S</v>
          </cell>
          <cell r="F513" t="str">
            <v>20228</v>
          </cell>
          <cell r="G513" t="str">
            <v xml:space="preserve">CM </v>
          </cell>
          <cell r="H513" t="str">
            <v>CL||8|||||#|14||-|90|||</v>
          </cell>
          <cell r="J513">
            <v>120523</v>
          </cell>
          <cell r="L513" t="str">
            <v>9.200149</v>
          </cell>
          <cell r="M513" t="str">
            <v>-73.541697</v>
          </cell>
        </row>
        <row r="514">
          <cell r="C514">
            <v>9047</v>
          </cell>
          <cell r="D514" t="str">
            <v>PDV BRISAS DE LA POPA</v>
          </cell>
          <cell r="E514" t="str">
            <v>S</v>
          </cell>
          <cell r="F514" t="str">
            <v>20001</v>
          </cell>
          <cell r="G514" t="str">
            <v xml:space="preserve">PDV </v>
          </cell>
          <cell r="H514" t="str">
            <v>CL||18|A||||#|34|A|-|5|||</v>
          </cell>
          <cell r="J514">
            <v>120523</v>
          </cell>
          <cell r="L514" t="str">
            <v>10.469483</v>
          </cell>
          <cell r="M514" t="str">
            <v>-73.279197</v>
          </cell>
        </row>
        <row r="515">
          <cell r="C515">
            <v>20093</v>
          </cell>
          <cell r="D515" t="str">
            <v>PDV CUARTA CON 19</v>
          </cell>
          <cell r="E515" t="str">
            <v>S</v>
          </cell>
          <cell r="F515" t="str">
            <v>20001</v>
          </cell>
          <cell r="G515" t="str">
            <v xml:space="preserve">PDV </v>
          </cell>
          <cell r="H515" t="str">
            <v>CR||4|||||#|19|A|-|56|||</v>
          </cell>
          <cell r="J515">
            <v>120523</v>
          </cell>
          <cell r="L515" t="str">
            <v>10.4714</v>
          </cell>
          <cell r="M515" t="str">
            <v>-73.2376</v>
          </cell>
        </row>
        <row r="516">
          <cell r="C516">
            <v>7177</v>
          </cell>
          <cell r="D516" t="str">
            <v>PDV CUATRO ESQUINA</v>
          </cell>
          <cell r="E516" t="str">
            <v>S</v>
          </cell>
          <cell r="F516" t="str">
            <v>20011</v>
          </cell>
          <cell r="G516" t="str">
            <v xml:space="preserve">PDV </v>
          </cell>
          <cell r="H516" t="str">
            <v>CL||11|||||#|10|A|-|175|||</v>
          </cell>
          <cell r="J516">
            <v>120523</v>
          </cell>
          <cell r="L516" t="str">
            <v>8.302088</v>
          </cell>
          <cell r="M516" t="str">
            <v>-73.622276</v>
          </cell>
        </row>
        <row r="517">
          <cell r="C517">
            <v>23609</v>
          </cell>
          <cell r="D517" t="str">
            <v xml:space="preserve">PDV 28 CON CUARTA </v>
          </cell>
          <cell r="E517" t="str">
            <v>S</v>
          </cell>
          <cell r="F517" t="str">
            <v>20001</v>
          </cell>
          <cell r="G517" t="str">
            <v xml:space="preserve">PDV </v>
          </cell>
          <cell r="H517" t="str">
            <v>CL||28|||||#|4|H|-|16|||</v>
          </cell>
          <cell r="J517">
            <v>120523</v>
          </cell>
          <cell r="L517" t="str">
            <v>10.4601</v>
          </cell>
          <cell r="M517" t="str">
            <v>-73.2342</v>
          </cell>
        </row>
        <row r="518">
          <cell r="C518">
            <v>21895</v>
          </cell>
          <cell r="D518" t="str">
            <v>CM MOTECITOS 2</v>
          </cell>
          <cell r="E518" t="str">
            <v>S</v>
          </cell>
          <cell r="F518" t="str">
            <v>20614</v>
          </cell>
          <cell r="G518" t="str">
            <v xml:space="preserve">CM </v>
          </cell>
          <cell r="H518" t="str">
            <v>OT||||||||||||||KDX 55-1</v>
          </cell>
          <cell r="J518">
            <v>120523</v>
          </cell>
          <cell r="L518" t="str">
            <v>8.16891975</v>
          </cell>
          <cell r="M518" t="str">
            <v>-73.50802972</v>
          </cell>
        </row>
        <row r="519">
          <cell r="C519">
            <v>23997</v>
          </cell>
          <cell r="D519" t="str">
            <v xml:space="preserve">CM ACAPULCO </v>
          </cell>
          <cell r="E519" t="str">
            <v>S</v>
          </cell>
          <cell r="F519" t="str">
            <v>20295</v>
          </cell>
          <cell r="G519" t="str">
            <v xml:space="preserve">CM </v>
          </cell>
          <cell r="H519" t="str">
            <v>OT||||||||||||||MZ M CASA 4</v>
          </cell>
          <cell r="J519">
            <v>120523</v>
          </cell>
          <cell r="L519" t="str">
            <v>8.33386</v>
          </cell>
          <cell r="M519" t="str">
            <v>-73.730728</v>
          </cell>
        </row>
        <row r="520">
          <cell r="C520">
            <v>9171</v>
          </cell>
          <cell r="D520" t="str">
            <v>PDV EL CARMEN</v>
          </cell>
          <cell r="E520" t="str">
            <v>S</v>
          </cell>
          <cell r="F520" t="str">
            <v>20001</v>
          </cell>
          <cell r="G520" t="str">
            <v xml:space="preserve">PDV </v>
          </cell>
          <cell r="H520" t="str">
            <v>CL||13|B||||#|13||-|45|||</v>
          </cell>
          <cell r="J520">
            <v>120523</v>
          </cell>
          <cell r="L520" t="str">
            <v>10.4759</v>
          </cell>
          <cell r="M520" t="str">
            <v>-73.2408</v>
          </cell>
        </row>
        <row r="521">
          <cell r="C521">
            <v>41127</v>
          </cell>
          <cell r="D521" t="str">
            <v>PDV LA Y</v>
          </cell>
          <cell r="E521" t="str">
            <v>S</v>
          </cell>
          <cell r="F521" t="str">
            <v>20045</v>
          </cell>
          <cell r="H521" t="str">
            <v>CR||7|||||#|13||-|110|||</v>
          </cell>
          <cell r="J521">
            <v>120523</v>
          </cell>
          <cell r="L521" t="str">
            <v>9.69928</v>
          </cell>
          <cell r="M521" t="str">
            <v>-73.2801</v>
          </cell>
        </row>
        <row r="522">
          <cell r="C522">
            <v>42003</v>
          </cell>
          <cell r="D522" t="str">
            <v>CM MARY</v>
          </cell>
          <cell r="E522" t="str">
            <v>S</v>
          </cell>
          <cell r="F522" t="str">
            <v>20550</v>
          </cell>
          <cell r="H522" t="str">
            <v>CR||9|||||#|9||-|68|||</v>
          </cell>
          <cell r="J522">
            <v>120523</v>
          </cell>
          <cell r="L522" t="str">
            <v>8.68993</v>
          </cell>
          <cell r="M522" t="str">
            <v>-73.664949</v>
          </cell>
        </row>
        <row r="523">
          <cell r="C523">
            <v>39667</v>
          </cell>
          <cell r="D523" t="str">
            <v>CM GALERIA 2</v>
          </cell>
          <cell r="E523" t="str">
            <v>S</v>
          </cell>
          <cell r="F523" t="str">
            <v>20001</v>
          </cell>
          <cell r="G523" t="str">
            <v xml:space="preserve">CM </v>
          </cell>
          <cell r="H523" t="str">
            <v>CR||7|||||#|18|B|-|1|||</v>
          </cell>
          <cell r="J523">
            <v>120523</v>
          </cell>
          <cell r="L523" t="str">
            <v>10.4727</v>
          </cell>
          <cell r="M523" t="str">
            <v>-73.2435</v>
          </cell>
        </row>
        <row r="524">
          <cell r="C524">
            <v>39732</v>
          </cell>
          <cell r="D524" t="str">
            <v>TAT DIOS CON NOSOTROS</v>
          </cell>
          <cell r="E524" t="str">
            <v>S</v>
          </cell>
          <cell r="F524" t="str">
            <v>20013</v>
          </cell>
          <cell r="G524" t="str">
            <v xml:space="preserve">TAT </v>
          </cell>
          <cell r="H524" t="str">
            <v>CL||20|||||#|29||-|14|||</v>
          </cell>
          <cell r="J524">
            <v>120523</v>
          </cell>
          <cell r="L524" t="str">
            <v>10.03653</v>
          </cell>
          <cell r="M524" t="str">
            <v>-73.24412</v>
          </cell>
        </row>
        <row r="525">
          <cell r="C525">
            <v>40651</v>
          </cell>
          <cell r="D525" t="str">
            <v>CM TIENDA EL PORTAL DE LA NEVA</v>
          </cell>
          <cell r="E525" t="str">
            <v>S</v>
          </cell>
          <cell r="F525" t="str">
            <v>20001</v>
          </cell>
          <cell r="G525" t="str">
            <v xml:space="preserve">CM </v>
          </cell>
          <cell r="H525" t="str">
            <v>CL||7|A||||#|29||-|100|||</v>
          </cell>
          <cell r="J525">
            <v>120523</v>
          </cell>
          <cell r="L525" t="str">
            <v>10.477425</v>
          </cell>
          <cell r="M525" t="str">
            <v>-73.27469987</v>
          </cell>
        </row>
        <row r="526">
          <cell r="C526">
            <v>42470</v>
          </cell>
          <cell r="D526" t="str">
            <v>PDV TARIMA JORGE OÑATE</v>
          </cell>
          <cell r="E526" t="str">
            <v>S</v>
          </cell>
          <cell r="F526" t="str">
            <v>20621</v>
          </cell>
          <cell r="H526" t="str">
            <v>CR||7|||||#|6||-|66|||</v>
          </cell>
          <cell r="J526">
            <v>120523</v>
          </cell>
          <cell r="L526" t="str">
            <v>10.386912</v>
          </cell>
          <cell r="M526" t="str">
            <v>-73.169577</v>
          </cell>
        </row>
        <row r="527">
          <cell r="C527">
            <v>42533</v>
          </cell>
          <cell r="D527" t="str">
            <v>CM CENTRALES</v>
          </cell>
          <cell r="E527" t="str">
            <v>S</v>
          </cell>
          <cell r="F527" t="str">
            <v>20011</v>
          </cell>
          <cell r="H527" t="str">
            <v>CR||15|||||#|11||-|18|||</v>
          </cell>
          <cell r="J527">
            <v>120523</v>
          </cell>
          <cell r="L527" t="str">
            <v>8.302848</v>
          </cell>
          <cell r="M527" t="str">
            <v>-73.619421</v>
          </cell>
        </row>
        <row r="528">
          <cell r="C528">
            <v>40049</v>
          </cell>
          <cell r="D528" t="str">
            <v>PDV DULCE TENTACION</v>
          </cell>
          <cell r="E528" t="str">
            <v>S</v>
          </cell>
          <cell r="F528" t="str">
            <v>20001</v>
          </cell>
          <cell r="G528" t="str">
            <v xml:space="preserve">PDV </v>
          </cell>
          <cell r="H528" t="str">
            <v>DG||18|B||||#|22||-|75|||</v>
          </cell>
          <cell r="J528">
            <v>120523</v>
          </cell>
          <cell r="L528" t="str">
            <v>10.46002</v>
          </cell>
          <cell r="M528" t="str">
            <v>-73.2611</v>
          </cell>
        </row>
        <row r="529">
          <cell r="C529">
            <v>41090</v>
          </cell>
          <cell r="D529" t="str">
            <v>PDV ANTIGUO CDA EL PASO</v>
          </cell>
          <cell r="E529" t="str">
            <v>S</v>
          </cell>
          <cell r="F529" t="str">
            <v>20250</v>
          </cell>
          <cell r="H529" t="str">
            <v>CL||3|||||#|3||-|12|||</v>
          </cell>
          <cell r="J529">
            <v>120523</v>
          </cell>
          <cell r="L529" t="str">
            <v>9.6601</v>
          </cell>
          <cell r="M529" t="str">
            <v>-73.7493</v>
          </cell>
        </row>
        <row r="530">
          <cell r="C530">
            <v>43317</v>
          </cell>
          <cell r="D530" t="str">
            <v>PDV TRIBU DE JUDAT CASETA</v>
          </cell>
          <cell r="E530" t="str">
            <v>S</v>
          </cell>
          <cell r="F530" t="str">
            <v>20001</v>
          </cell>
          <cell r="H530" t="str">
            <v>OT||||||||||||||SECTOR 1 MZ 8- 17</v>
          </cell>
          <cell r="J530">
            <v>120523</v>
          </cell>
          <cell r="L530" t="str">
            <v>10.445597</v>
          </cell>
          <cell r="M530" t="str">
            <v>-73.280567</v>
          </cell>
        </row>
        <row r="531">
          <cell r="C531">
            <v>43758</v>
          </cell>
          <cell r="D531" t="str">
            <v>TAT NUBIA</v>
          </cell>
          <cell r="E531" t="str">
            <v>S</v>
          </cell>
          <cell r="F531" t="str">
            <v>20001</v>
          </cell>
          <cell r="H531" t="str">
            <v>CL||8|||||#|39||-|12|||</v>
          </cell>
          <cell r="J531">
            <v>120523</v>
          </cell>
          <cell r="L531" t="str">
            <v>10.473766</v>
          </cell>
          <cell r="M531" t="str">
            <v>-73.278332</v>
          </cell>
        </row>
        <row r="532">
          <cell r="C532">
            <v>40219</v>
          </cell>
          <cell r="D532" t="str">
            <v>CM DROGUERIA CENTRAL DEL VALLE</v>
          </cell>
          <cell r="E532" t="str">
            <v>S</v>
          </cell>
          <cell r="F532" t="str">
            <v>20001</v>
          </cell>
          <cell r="G532" t="str">
            <v xml:space="preserve">CM </v>
          </cell>
          <cell r="H532" t="str">
            <v>CR||20|||||#|15||-|43|||</v>
          </cell>
          <cell r="J532">
            <v>120523</v>
          </cell>
          <cell r="L532" t="str">
            <v>10.4665214</v>
          </cell>
          <cell r="M532" t="str">
            <v>-73.262572</v>
          </cell>
        </row>
        <row r="533">
          <cell r="C533">
            <v>8385</v>
          </cell>
          <cell r="D533" t="str">
            <v xml:space="preserve">CM DROGUERIA LA BOTICA </v>
          </cell>
          <cell r="E533" t="str">
            <v>S</v>
          </cell>
          <cell r="F533" t="str">
            <v>20001</v>
          </cell>
          <cell r="G533" t="str">
            <v xml:space="preserve">CM </v>
          </cell>
          <cell r="H533" t="str">
            <v>CR||4|D||||#|32|A|-|24|||</v>
          </cell>
          <cell r="J533">
            <v>120523</v>
          </cell>
          <cell r="L533" t="str">
            <v>10.45971</v>
          </cell>
          <cell r="M533" t="str">
            <v>-73.24662</v>
          </cell>
        </row>
        <row r="534">
          <cell r="C534">
            <v>39498</v>
          </cell>
          <cell r="D534" t="str">
            <v xml:space="preserve">PDV DON ALBERTO </v>
          </cell>
          <cell r="E534" t="str">
            <v>S</v>
          </cell>
          <cell r="F534" t="str">
            <v>20001</v>
          </cell>
          <cell r="G534" t="str">
            <v xml:space="preserve">PDV </v>
          </cell>
          <cell r="H534" t="str">
            <v>OT||||||||||||||SECTOR 1 MZ 162-15 AP 01</v>
          </cell>
          <cell r="J534">
            <v>120523</v>
          </cell>
          <cell r="L534" t="str">
            <v>10.4625</v>
          </cell>
          <cell r="M534" t="str">
            <v>-73.2812</v>
          </cell>
        </row>
        <row r="535">
          <cell r="C535">
            <v>45312</v>
          </cell>
          <cell r="D535" t="str">
            <v>CM SINDY GU</v>
          </cell>
          <cell r="E535" t="str">
            <v>S</v>
          </cell>
          <cell r="F535" t="str">
            <v>20001</v>
          </cell>
          <cell r="H535" t="str">
            <v>CL||2|||||#|2||-|140|||</v>
          </cell>
          <cell r="J535">
            <v>120523</v>
          </cell>
          <cell r="L535" t="str">
            <v>10.333607</v>
          </cell>
          <cell r="M535" t="str">
            <v>-73.334552</v>
          </cell>
        </row>
        <row r="536">
          <cell r="C536">
            <v>47015</v>
          </cell>
          <cell r="D536" t="str">
            <v>CM JOHANA</v>
          </cell>
          <cell r="E536" t="str">
            <v>S</v>
          </cell>
          <cell r="F536" t="str">
            <v>20011</v>
          </cell>
          <cell r="H536" t="str">
            <v>MZ C CASA 4 BARRIO CIUDADELA DE LA PAZ</v>
          </cell>
          <cell r="J536">
            <v>0</v>
          </cell>
          <cell r="L536" t="str">
            <v>8.310255</v>
          </cell>
          <cell r="M536" t="str">
            <v>-73.634252</v>
          </cell>
        </row>
        <row r="537">
          <cell r="C537">
            <v>47121</v>
          </cell>
          <cell r="D537" t="str">
            <v>AMBULANTE EL COPEY TIGO</v>
          </cell>
          <cell r="E537" t="str">
            <v>S</v>
          </cell>
          <cell r="F537" t="str">
            <v>20238</v>
          </cell>
          <cell r="H537" t="str">
            <v>CR 14 # 8A-100</v>
          </cell>
          <cell r="J537">
            <v>0</v>
          </cell>
          <cell r="L537" t="str">
            <v>10.148414</v>
          </cell>
          <cell r="M537" t="str">
            <v>-73.959515</v>
          </cell>
        </row>
        <row r="538">
          <cell r="C538">
            <v>47124</v>
          </cell>
          <cell r="D538" t="str">
            <v>AMBULANTE LA GLORIA TIGO</v>
          </cell>
          <cell r="E538" t="str">
            <v>S</v>
          </cell>
          <cell r="F538" t="str">
            <v>20383</v>
          </cell>
          <cell r="J538">
            <v>0</v>
          </cell>
          <cell r="L538" t="str">
            <v>8.617435</v>
          </cell>
          <cell r="M538" t="str">
            <v>-73.803569</v>
          </cell>
        </row>
        <row r="539">
          <cell r="C539">
            <v>47126</v>
          </cell>
          <cell r="D539" t="str">
            <v>AMBULANTE CHIRIGUANA CLARO</v>
          </cell>
          <cell r="E539" t="str">
            <v>S</v>
          </cell>
          <cell r="F539" t="str">
            <v>20178</v>
          </cell>
          <cell r="H539" t="str">
            <v>CL 8 # 5A-4</v>
          </cell>
          <cell r="J539">
            <v>0</v>
          </cell>
          <cell r="L539" t="str">
            <v>9.3641</v>
          </cell>
          <cell r="M539" t="str">
            <v>-73.6024</v>
          </cell>
        </row>
        <row r="540">
          <cell r="C540">
            <v>47129</v>
          </cell>
          <cell r="D540" t="str">
            <v>AMBULANTE LA JAGUA CLARO</v>
          </cell>
          <cell r="E540" t="str">
            <v>S</v>
          </cell>
          <cell r="F540" t="str">
            <v>20400</v>
          </cell>
          <cell r="H540" t="str">
            <v>DG 1 # 5-31</v>
          </cell>
          <cell r="J540">
            <v>0</v>
          </cell>
          <cell r="L540" t="str">
            <v>9.5638</v>
          </cell>
          <cell r="M540" t="str">
            <v>-73.3378</v>
          </cell>
        </row>
        <row r="541">
          <cell r="C541">
            <v>47148</v>
          </cell>
          <cell r="D541" t="str">
            <v>AMBULANTE RIO DE ORO TIGO</v>
          </cell>
          <cell r="E541" t="str">
            <v>S</v>
          </cell>
          <cell r="F541" t="str">
            <v>20614</v>
          </cell>
          <cell r="H541" t="str">
            <v>CL 1  # 2-117</v>
          </cell>
          <cell r="J541">
            <v>0</v>
          </cell>
          <cell r="L541" t="str">
            <v>8.29129694</v>
          </cell>
          <cell r="M541" t="str">
            <v>-73.38600666</v>
          </cell>
        </row>
        <row r="542">
          <cell r="C542">
            <v>8383</v>
          </cell>
          <cell r="D542" t="str">
            <v>CM OLIMPICA SIERRA NEVADA</v>
          </cell>
          <cell r="E542" t="str">
            <v>S</v>
          </cell>
          <cell r="F542" t="str">
            <v>20001</v>
          </cell>
          <cell r="G542" t="str">
            <v xml:space="preserve">CM </v>
          </cell>
          <cell r="H542" t="str">
            <v>CL||7|||||#|19|D|-|82|||</v>
          </cell>
          <cell r="J542">
            <v>120523</v>
          </cell>
          <cell r="L542" t="str">
            <v>10.487423</v>
          </cell>
          <cell r="M542" t="str">
            <v>-73.278299</v>
          </cell>
        </row>
        <row r="543">
          <cell r="C543">
            <v>44557</v>
          </cell>
          <cell r="D543" t="str">
            <v>CM LOS MOROCHOS 2</v>
          </cell>
          <cell r="E543" t="str">
            <v>S</v>
          </cell>
          <cell r="F543" t="str">
            <v>20228</v>
          </cell>
          <cell r="H543" t="str">
            <v>OT||||||||||||||MZ B1</v>
          </cell>
          <cell r="J543">
            <v>120523</v>
          </cell>
          <cell r="L543" t="str">
            <v>9.198927</v>
          </cell>
          <cell r="M543" t="str">
            <v>-73.528085</v>
          </cell>
        </row>
        <row r="544">
          <cell r="C544">
            <v>44640</v>
          </cell>
          <cell r="D544" t="str">
            <v xml:space="preserve">CM ECONOMIA URGENCIAS </v>
          </cell>
          <cell r="E544" t="str">
            <v>S</v>
          </cell>
          <cell r="F544" t="str">
            <v>20001</v>
          </cell>
          <cell r="H544" t="str">
            <v>DG||18|||||#|17|B|-|2|||</v>
          </cell>
          <cell r="J544">
            <v>120523</v>
          </cell>
          <cell r="L544" t="str">
            <v>10.4673</v>
          </cell>
          <cell r="M544" t="str">
            <v>-73.2529</v>
          </cell>
        </row>
        <row r="545">
          <cell r="C545">
            <v>45216</v>
          </cell>
          <cell r="D545" t="str">
            <v>CM EL CARMEN</v>
          </cell>
          <cell r="E545" t="str">
            <v>S</v>
          </cell>
          <cell r="F545" t="str">
            <v>20250</v>
          </cell>
          <cell r="H545" t="str">
            <v>CL||3|||||#|3||-|35|||</v>
          </cell>
          <cell r="J545">
            <v>120523</v>
          </cell>
          <cell r="L545" t="str">
            <v>9.6712</v>
          </cell>
          <cell r="M545" t="str">
            <v>-73.6894</v>
          </cell>
        </row>
        <row r="546">
          <cell r="C546">
            <v>46269</v>
          </cell>
          <cell r="D546" t="str">
            <v>CM TEFY</v>
          </cell>
          <cell r="E546" t="str">
            <v>S</v>
          </cell>
          <cell r="F546" t="str">
            <v>20011</v>
          </cell>
          <cell r="H546" t="str">
            <v>CR||8|||||#|14||-|20|||</v>
          </cell>
          <cell r="J546">
            <v>260523</v>
          </cell>
          <cell r="L546" t="str">
            <v>8.297505</v>
          </cell>
          <cell r="M546" t="str">
            <v>-73.624972</v>
          </cell>
        </row>
        <row r="547">
          <cell r="C547">
            <v>45142</v>
          </cell>
          <cell r="D547" t="str">
            <v>CM MINUTOS LUZ</v>
          </cell>
          <cell r="E547" t="str">
            <v>S</v>
          </cell>
          <cell r="F547" t="str">
            <v>20001</v>
          </cell>
          <cell r="H547" t="str">
            <v>CR||5|||||#|21|A|-|20|||</v>
          </cell>
          <cell r="J547">
            <v>120523</v>
          </cell>
          <cell r="L547" t="str">
            <v>10.4639</v>
          </cell>
          <cell r="M547" t="str">
            <v>-73.2383</v>
          </cell>
        </row>
        <row r="548">
          <cell r="C548">
            <v>45205</v>
          </cell>
          <cell r="D548" t="str">
            <v>CM CRISTO VIENE PRONTO</v>
          </cell>
          <cell r="E548" t="str">
            <v>S</v>
          </cell>
          <cell r="F548" t="str">
            <v>20621</v>
          </cell>
          <cell r="H548" t="str">
            <v>CR||6|||||#|4|S|-|45|||</v>
          </cell>
          <cell r="J548">
            <v>120523</v>
          </cell>
          <cell r="L548" t="str">
            <v>10.348311</v>
          </cell>
          <cell r="M548" t="str">
            <v>-73.051486</v>
          </cell>
        </row>
        <row r="549">
          <cell r="C549">
            <v>20930</v>
          </cell>
          <cell r="D549" t="str">
            <v>PDV EL MERCADO</v>
          </cell>
          <cell r="E549" t="str">
            <v>S</v>
          </cell>
          <cell r="F549" t="str">
            <v>20060</v>
          </cell>
          <cell r="G549" t="str">
            <v xml:space="preserve">PDV </v>
          </cell>
          <cell r="H549" t="str">
            <v>CR||20|||||#|21||-|27|||</v>
          </cell>
          <cell r="J549">
            <v>120523</v>
          </cell>
          <cell r="L549" t="str">
            <v>9.9743</v>
          </cell>
          <cell r="M549" t="str">
            <v>-73.8906</v>
          </cell>
        </row>
        <row r="550">
          <cell r="C550">
            <v>41088</v>
          </cell>
          <cell r="D550" t="str">
            <v>PDV DONDE LILIA</v>
          </cell>
          <cell r="E550" t="str">
            <v>S</v>
          </cell>
          <cell r="F550" t="str">
            <v>20060</v>
          </cell>
          <cell r="H550" t="str">
            <v>CL||7|||||#|18|A|-|20|||</v>
          </cell>
          <cell r="J550">
            <v>120523</v>
          </cell>
          <cell r="L550" t="str">
            <v>9.9789</v>
          </cell>
          <cell r="M550" t="str">
            <v>-73.8913</v>
          </cell>
        </row>
        <row r="551">
          <cell r="C551">
            <v>47109</v>
          </cell>
          <cell r="D551" t="str">
            <v>AMBULANTE PAILITAS TIGO</v>
          </cell>
          <cell r="E551" t="str">
            <v>S</v>
          </cell>
          <cell r="F551" t="str">
            <v>20517</v>
          </cell>
          <cell r="H551" t="str">
            <v>CR 6 # 5-67</v>
          </cell>
          <cell r="J551">
            <v>0</v>
          </cell>
          <cell r="L551" t="str">
            <v>8.95657</v>
          </cell>
          <cell r="M551" t="str">
            <v>-73.6241</v>
          </cell>
        </row>
        <row r="552">
          <cell r="C552">
            <v>44812</v>
          </cell>
          <cell r="D552" t="str">
            <v xml:space="preserve">AMBULANTE MOVISTAR SAN JOSE </v>
          </cell>
          <cell r="E552" t="str">
            <v>S</v>
          </cell>
          <cell r="F552" t="str">
            <v>20621</v>
          </cell>
          <cell r="H552" t="str">
            <v>CL||6|||||#|6||-|34|||</v>
          </cell>
          <cell r="J552">
            <v>120523</v>
          </cell>
          <cell r="L552" t="str">
            <v>10.349966</v>
          </cell>
          <cell r="M552" t="str">
            <v>-73.043995</v>
          </cell>
        </row>
        <row r="553">
          <cell r="C553">
            <v>44813</v>
          </cell>
          <cell r="D553" t="str">
            <v xml:space="preserve">AMBULANTE CLARO SAN JOSE </v>
          </cell>
          <cell r="E553" t="str">
            <v>S</v>
          </cell>
          <cell r="F553" t="str">
            <v>20621</v>
          </cell>
          <cell r="H553" t="str">
            <v>CL||6|||||#|6||-|34|||</v>
          </cell>
          <cell r="J553">
            <v>120523</v>
          </cell>
          <cell r="L553" t="str">
            <v>10.349966</v>
          </cell>
          <cell r="M553" t="str">
            <v>-73.043995</v>
          </cell>
        </row>
        <row r="554">
          <cell r="C554">
            <v>44929</v>
          </cell>
          <cell r="D554" t="str">
            <v xml:space="preserve">CM ISABELLA </v>
          </cell>
          <cell r="E554" t="str">
            <v>S</v>
          </cell>
          <cell r="F554" t="str">
            <v>20750</v>
          </cell>
          <cell r="H554" t="str">
            <v>CR||7|||||#|5||-|63|||</v>
          </cell>
          <cell r="J554">
            <v>120523</v>
          </cell>
          <cell r="L554" t="str">
            <v>10.3344</v>
          </cell>
          <cell r="M554" t="str">
            <v>-73.1774</v>
          </cell>
        </row>
        <row r="555">
          <cell r="C555">
            <v>46176</v>
          </cell>
          <cell r="D555" t="str">
            <v>CM MULTISERVICIOS FANDY</v>
          </cell>
          <cell r="E555" t="str">
            <v>S</v>
          </cell>
          <cell r="F555" t="str">
            <v>20550</v>
          </cell>
          <cell r="H555" t="str">
            <v>CR||4|||||#|5||-|37|||</v>
          </cell>
          <cell r="J555">
            <v>260523</v>
          </cell>
          <cell r="L555" t="str">
            <v>8.734580926</v>
          </cell>
          <cell r="M555" t="str">
            <v>-73.7241345</v>
          </cell>
        </row>
        <row r="556">
          <cell r="C556">
            <v>46964</v>
          </cell>
          <cell r="D556" t="str">
            <v>CM EL MUELLE</v>
          </cell>
          <cell r="E556" t="str">
            <v>S</v>
          </cell>
          <cell r="F556" t="str">
            <v>20175</v>
          </cell>
          <cell r="H556" t="str">
            <v>CL 7 # 3-58 BARRIO SANTA ISABEL</v>
          </cell>
          <cell r="J556">
            <v>0</v>
          </cell>
          <cell r="L556" t="str">
            <v>9.232224</v>
          </cell>
          <cell r="M556" t="str">
            <v>-73.808841</v>
          </cell>
        </row>
        <row r="557">
          <cell r="C557">
            <v>47043</v>
          </cell>
          <cell r="D557" t="str">
            <v xml:space="preserve">AMBULANTE LA PAZ </v>
          </cell>
          <cell r="E557" t="str">
            <v>S</v>
          </cell>
          <cell r="F557" t="str">
            <v>20621</v>
          </cell>
          <cell r="J557">
            <v>0</v>
          </cell>
          <cell r="L557" t="str">
            <v>10.386577</v>
          </cell>
          <cell r="M557" t="str">
            <v>-73.170702</v>
          </cell>
        </row>
        <row r="558">
          <cell r="C558">
            <v>47122</v>
          </cell>
          <cell r="D558" t="str">
            <v>AMBULANTE EL COPEY MOVISTAR</v>
          </cell>
          <cell r="E558" t="str">
            <v>S</v>
          </cell>
          <cell r="F558" t="str">
            <v>20238</v>
          </cell>
          <cell r="H558" t="str">
            <v>CR 14 # 8A-100</v>
          </cell>
          <cell r="J558">
            <v>0</v>
          </cell>
          <cell r="L558" t="str">
            <v>10.148414</v>
          </cell>
          <cell r="M558" t="str">
            <v>-73.959515</v>
          </cell>
        </row>
        <row r="559">
          <cell r="C559">
            <v>44438</v>
          </cell>
          <cell r="D559" t="str">
            <v xml:space="preserve">CM LA 4TA </v>
          </cell>
          <cell r="E559" t="str">
            <v>S</v>
          </cell>
          <cell r="F559" t="str">
            <v>20400</v>
          </cell>
          <cell r="H559" t="str">
            <v>CR||4|||||#|9||-|22|||</v>
          </cell>
          <cell r="J559">
            <v>120523</v>
          </cell>
          <cell r="L559" t="str">
            <v>9.5629</v>
          </cell>
          <cell r="M559" t="str">
            <v>-73.3326</v>
          </cell>
        </row>
        <row r="560">
          <cell r="C560">
            <v>24052</v>
          </cell>
          <cell r="D560" t="str">
            <v>PDV VILLA HAIDY</v>
          </cell>
          <cell r="E560" t="str">
            <v>S</v>
          </cell>
          <cell r="F560" t="str">
            <v>20001</v>
          </cell>
          <cell r="G560" t="str">
            <v xml:space="preserve">PDV </v>
          </cell>
          <cell r="H560" t="str">
            <v>CL||17|||||#|29||-|5|||</v>
          </cell>
          <cell r="J560">
            <v>120523</v>
          </cell>
          <cell r="L560" t="str">
            <v>10.430516</v>
          </cell>
          <cell r="M560" t="str">
            <v>-73.259362</v>
          </cell>
        </row>
        <row r="561">
          <cell r="C561">
            <v>44970</v>
          </cell>
          <cell r="D561" t="str">
            <v>CM EL MONACO</v>
          </cell>
          <cell r="E561" t="str">
            <v>S</v>
          </cell>
          <cell r="F561" t="str">
            <v>20001</v>
          </cell>
          <cell r="H561" t="str">
            <v>CL||38|||||#|23||-|111|||</v>
          </cell>
          <cell r="J561">
            <v>120523</v>
          </cell>
          <cell r="L561" t="str">
            <v>10.447314</v>
          </cell>
          <cell r="M561" t="str">
            <v>-73.252137</v>
          </cell>
        </row>
        <row r="562">
          <cell r="C562">
            <v>47410</v>
          </cell>
          <cell r="D562" t="str">
            <v>CM NUEVO ANTEQUERA</v>
          </cell>
          <cell r="E562" t="str">
            <v>S</v>
          </cell>
          <cell r="F562" t="str">
            <v>20787</v>
          </cell>
          <cell r="H562" t="str">
            <v>CL 2 # 2-54 BARRIO ANTEQUERA</v>
          </cell>
          <cell r="J562">
            <v>0</v>
          </cell>
          <cell r="L562" t="str">
            <v>8.910163</v>
          </cell>
          <cell r="M562" t="str">
            <v>-73.777227</v>
          </cell>
        </row>
        <row r="563">
          <cell r="C563">
            <v>47910</v>
          </cell>
          <cell r="D563" t="str">
            <v>CM NUEVA ESPERANZA</v>
          </cell>
          <cell r="E563" t="str">
            <v>S</v>
          </cell>
          <cell r="F563" t="str">
            <v>20550</v>
          </cell>
          <cell r="H563" t="str">
            <v>CL 11 # 15-75 BARRIO MATA DE VIJAO</v>
          </cell>
          <cell r="J563">
            <v>0</v>
          </cell>
          <cell r="L563" t="str">
            <v>8.6892</v>
          </cell>
          <cell r="M563" t="str">
            <v>-73.6724</v>
          </cell>
        </row>
        <row r="564">
          <cell r="C564">
            <v>250352</v>
          </cell>
          <cell r="D564" t="str">
            <v>CENTRO  DX AUTOMOTOR MOTOCESAR</v>
          </cell>
          <cell r="E564" t="str">
            <v>S</v>
          </cell>
          <cell r="F564" t="str">
            <v>20060</v>
          </cell>
          <cell r="H564" t="str">
            <v>CR 18 16-68</v>
          </cell>
          <cell r="J564">
            <v>0</v>
          </cell>
          <cell r="L564" t="str">
            <v>9.9723</v>
          </cell>
          <cell r="M564" t="str">
            <v>-73.8858</v>
          </cell>
        </row>
        <row r="565">
          <cell r="C565">
            <v>250482</v>
          </cell>
          <cell r="D565" t="str">
            <v>CM LOS 4 HERMANOS</v>
          </cell>
          <cell r="E565" t="str">
            <v>S</v>
          </cell>
          <cell r="F565" t="str">
            <v>20001</v>
          </cell>
          <cell r="H565" t="str">
            <v>DG 18A # 22-37 BARRIO FUNDADORES</v>
          </cell>
          <cell r="J565">
            <v>0</v>
          </cell>
          <cell r="L565" t="str">
            <v>10.46077</v>
          </cell>
          <cell r="M565" t="str">
            <v>-73.26175</v>
          </cell>
        </row>
        <row r="566">
          <cell r="C566">
            <v>300012</v>
          </cell>
          <cell r="D566" t="str">
            <v>CM 12 CON 17</v>
          </cell>
          <cell r="E566" t="str">
            <v>S</v>
          </cell>
          <cell r="F566" t="str">
            <v>20001</v>
          </cell>
          <cell r="H566" t="str">
            <v>CR 12 # 18-106 BARRIO LA GRANJA</v>
          </cell>
          <cell r="J566">
            <v>0</v>
          </cell>
          <cell r="L566" t="str">
            <v>10.46966317</v>
          </cell>
          <cell r="M566" t="str">
            <v>-73.24722943</v>
          </cell>
        </row>
        <row r="567">
          <cell r="C567">
            <v>9096</v>
          </cell>
          <cell r="D567" t="str">
            <v xml:space="preserve">PDV TAIRONA </v>
          </cell>
          <cell r="E567" t="str">
            <v>S</v>
          </cell>
          <cell r="F567" t="str">
            <v>20001</v>
          </cell>
          <cell r="G567" t="str">
            <v xml:space="preserve">PDV </v>
          </cell>
          <cell r="H567" t="str">
            <v>CR||14|||||#|23||-|133|||</v>
          </cell>
          <cell r="J567">
            <v>120523</v>
          </cell>
          <cell r="L567" t="str">
            <v>10.4717</v>
          </cell>
          <cell r="M567" t="str">
            <v>-73.2854</v>
          </cell>
        </row>
        <row r="568">
          <cell r="C568">
            <v>45191</v>
          </cell>
          <cell r="D568" t="str">
            <v>PDV ANTIGUO CDA PELAYA</v>
          </cell>
          <cell r="E568" t="str">
            <v>S</v>
          </cell>
          <cell r="F568" t="str">
            <v>20550</v>
          </cell>
          <cell r="H568" t="str">
            <v>CR||8|||||#|8||-|08|||</v>
          </cell>
          <cell r="J568">
            <v>120523</v>
          </cell>
          <cell r="L568" t="str">
            <v>8.6828358</v>
          </cell>
          <cell r="M568" t="str">
            <v>-73.6627841</v>
          </cell>
        </row>
        <row r="569">
          <cell r="C569">
            <v>45367</v>
          </cell>
          <cell r="D569" t="str">
            <v>CM CYBER PLANET</v>
          </cell>
          <cell r="E569" t="str">
            <v>S</v>
          </cell>
          <cell r="F569" t="str">
            <v>20011</v>
          </cell>
          <cell r="H569" t="str">
            <v>CR||19|||||#|1||-|5|||</v>
          </cell>
          <cell r="J569">
            <v>120523</v>
          </cell>
          <cell r="L569" t="str">
            <v>8.312189</v>
          </cell>
          <cell r="M569" t="str">
            <v>-73.615308</v>
          </cell>
        </row>
        <row r="570">
          <cell r="C570">
            <v>47063</v>
          </cell>
          <cell r="D570" t="str">
            <v>AMBULANTE LA GLORIA</v>
          </cell>
          <cell r="E570" t="str">
            <v>S</v>
          </cell>
          <cell r="F570" t="str">
            <v>20383</v>
          </cell>
          <cell r="J570">
            <v>0</v>
          </cell>
          <cell r="L570" t="str">
            <v>8.617435</v>
          </cell>
          <cell r="M570" t="str">
            <v>-73.803569</v>
          </cell>
        </row>
        <row r="571">
          <cell r="C571">
            <v>44315</v>
          </cell>
          <cell r="D571" t="str">
            <v xml:space="preserve">CM QUINTERO </v>
          </cell>
          <cell r="E571" t="str">
            <v>S</v>
          </cell>
          <cell r="F571" t="str">
            <v>20517</v>
          </cell>
          <cell r="H571" t="str">
            <v>CL||2|||||#|6||-|21|||</v>
          </cell>
          <cell r="J571">
            <v>120523</v>
          </cell>
          <cell r="L571" t="str">
            <v>8.954001</v>
          </cell>
          <cell r="M571" t="str">
            <v>-73.625653</v>
          </cell>
        </row>
        <row r="572">
          <cell r="C572">
            <v>44794</v>
          </cell>
          <cell r="D572" t="str">
            <v xml:space="preserve">NUEVO CDA GAMARRA </v>
          </cell>
          <cell r="E572" t="str">
            <v>S</v>
          </cell>
          <cell r="F572" t="str">
            <v>20295</v>
          </cell>
          <cell r="H572" t="str">
            <v>CR||10|||||#|8||-|25|||</v>
          </cell>
          <cell r="J572">
            <v>120523</v>
          </cell>
          <cell r="L572" t="str">
            <v>8.32344</v>
          </cell>
          <cell r="M572" t="str">
            <v>-73.74112</v>
          </cell>
        </row>
        <row r="573">
          <cell r="C573">
            <v>40686</v>
          </cell>
          <cell r="D573" t="str">
            <v>CM BRISAS DE LA POPA 1</v>
          </cell>
          <cell r="E573" t="str">
            <v>S</v>
          </cell>
          <cell r="F573" t="str">
            <v>20001</v>
          </cell>
          <cell r="G573" t="str">
            <v xml:space="preserve">CM </v>
          </cell>
          <cell r="H573" t="str">
            <v>OT||||||||||||||MZ 5 CASA 10</v>
          </cell>
          <cell r="J573">
            <v>120523</v>
          </cell>
          <cell r="L573" t="str">
            <v>10.470767</v>
          </cell>
          <cell r="M573" t="str">
            <v>-73.280397</v>
          </cell>
        </row>
        <row r="574">
          <cell r="C574">
            <v>47098</v>
          </cell>
          <cell r="D574" t="str">
            <v>AMBULANTE SAN DIEGO MOVISTAR</v>
          </cell>
          <cell r="E574" t="str">
            <v>S</v>
          </cell>
          <cell r="F574" t="str">
            <v>20750</v>
          </cell>
          <cell r="J574">
            <v>0</v>
          </cell>
          <cell r="L574" t="str">
            <v>10.335776</v>
          </cell>
          <cell r="M574" t="str">
            <v>-73.178657</v>
          </cell>
        </row>
        <row r="575">
          <cell r="C575">
            <v>47647</v>
          </cell>
          <cell r="D575" t="str">
            <v>BECERRIL COLOMBIA MAYOR</v>
          </cell>
          <cell r="E575" t="str">
            <v>S</v>
          </cell>
          <cell r="F575" t="str">
            <v>20045</v>
          </cell>
          <cell r="H575" t="str">
            <v>MOVIL</v>
          </cell>
          <cell r="J575">
            <v>0</v>
          </cell>
        </row>
        <row r="576">
          <cell r="C576">
            <v>47651</v>
          </cell>
          <cell r="D576" t="str">
            <v>EL PASO COLOMBIA MAYOR</v>
          </cell>
          <cell r="E576" t="str">
            <v>S</v>
          </cell>
          <cell r="F576" t="str">
            <v>20250</v>
          </cell>
          <cell r="H576" t="str">
            <v>MOVIL</v>
          </cell>
          <cell r="J576">
            <v>0</v>
          </cell>
        </row>
        <row r="577">
          <cell r="C577">
            <v>47753</v>
          </cell>
          <cell r="D577" t="str">
            <v>CM LA MONA</v>
          </cell>
          <cell r="E577" t="str">
            <v>S</v>
          </cell>
          <cell r="F577" t="str">
            <v>20250</v>
          </cell>
          <cell r="H577" t="str">
            <v>CL 8 CR 17-152 BARRIO DIVINO NIÑO</v>
          </cell>
          <cell r="J577">
            <v>0</v>
          </cell>
          <cell r="L577" t="str">
            <v>9.6145</v>
          </cell>
          <cell r="M577" t="str">
            <v>-73.6031</v>
          </cell>
        </row>
        <row r="578">
          <cell r="C578">
            <v>301666</v>
          </cell>
          <cell r="D578" t="str">
            <v>CM PUTIN</v>
          </cell>
          <cell r="E578" t="str">
            <v>S</v>
          </cell>
          <cell r="F578" t="str">
            <v>20011</v>
          </cell>
          <cell r="H578" t="str">
            <v>MZ 6 CASA 16 BARRIO TIERRA LINDA</v>
          </cell>
          <cell r="J578">
            <v>0</v>
          </cell>
          <cell r="L578" t="str">
            <v>8.31718284</v>
          </cell>
          <cell r="M578" t="str">
            <v>-73.58922083</v>
          </cell>
        </row>
        <row r="579">
          <cell r="C579">
            <v>300725</v>
          </cell>
          <cell r="D579" t="str">
            <v>CM 19 DE MAYO</v>
          </cell>
          <cell r="E579" t="str">
            <v>S</v>
          </cell>
          <cell r="F579" t="str">
            <v>20750</v>
          </cell>
          <cell r="H579" t="str">
            <v>CR 11 # 6-23 BARRIO 19 DE MAYO</v>
          </cell>
          <cell r="J579">
            <v>0</v>
          </cell>
          <cell r="L579" t="str">
            <v>10.2448</v>
          </cell>
          <cell r="M579" t="str">
            <v>-73.1471</v>
          </cell>
        </row>
        <row r="580">
          <cell r="C580">
            <v>300213</v>
          </cell>
          <cell r="D580" t="str">
            <v>CM PATILLAL AV PRINCIPAL</v>
          </cell>
          <cell r="E580" t="str">
            <v>S</v>
          </cell>
          <cell r="F580" t="str">
            <v>20001</v>
          </cell>
          <cell r="H580" t="str">
            <v>CL 6 CR 6A-23 BARRIO EL TAMARINDO</v>
          </cell>
          <cell r="J580">
            <v>0</v>
          </cell>
          <cell r="L580" t="str">
            <v>10.7053</v>
          </cell>
          <cell r="M580" t="str">
            <v>-73.2107</v>
          </cell>
        </row>
        <row r="581">
          <cell r="C581">
            <v>300936</v>
          </cell>
          <cell r="D581" t="str">
            <v>CM ADRIANA</v>
          </cell>
          <cell r="E581" t="str">
            <v>S</v>
          </cell>
          <cell r="F581" t="str">
            <v>20060</v>
          </cell>
          <cell r="H581" t="str">
            <v>CL 4 # 4A-149 CARACOLÍ</v>
          </cell>
          <cell r="J581">
            <v>0</v>
          </cell>
          <cell r="L581" t="str">
            <v>10.07856</v>
          </cell>
          <cell r="M581" t="str">
            <v>-73.73754</v>
          </cell>
        </row>
        <row r="582">
          <cell r="C582">
            <v>302277</v>
          </cell>
          <cell r="D582" t="str">
            <v>CM PROVISIONES THIAGO</v>
          </cell>
          <cell r="E582" t="str">
            <v>S</v>
          </cell>
          <cell r="F582" t="str">
            <v>20750</v>
          </cell>
          <cell r="H582" t="str">
            <v>MZ 5 CASA # 2 BARRIO LOS PALMARES</v>
          </cell>
          <cell r="J582">
            <v>0</v>
          </cell>
          <cell r="L582" t="str">
            <v>10.2511</v>
          </cell>
          <cell r="M582" t="str">
            <v>-73.1435</v>
          </cell>
        </row>
        <row r="583">
          <cell r="C583">
            <v>302482</v>
          </cell>
          <cell r="D583" t="str">
            <v>CM MAICOL</v>
          </cell>
          <cell r="E583" t="str">
            <v>S</v>
          </cell>
          <cell r="F583" t="str">
            <v>20060</v>
          </cell>
          <cell r="H583" t="str">
            <v>CR 15 # 19-25 BARRIO BRISAS DE CESAR</v>
          </cell>
          <cell r="J583">
            <v>0</v>
          </cell>
          <cell r="L583" t="str">
            <v>9.97680</v>
          </cell>
          <cell r="M583" t="str">
            <v>-73.88393</v>
          </cell>
        </row>
        <row r="584">
          <cell r="C584">
            <v>302484</v>
          </cell>
          <cell r="D584" t="str">
            <v>CM PAPELERIA ANGIE</v>
          </cell>
          <cell r="E584" t="str">
            <v>S</v>
          </cell>
          <cell r="F584" t="str">
            <v>20710</v>
          </cell>
          <cell r="H584" t="str">
            <v>CL PPAL LA LLANA CASERIO</v>
          </cell>
          <cell r="J584">
            <v>0</v>
          </cell>
          <cell r="L584" t="str">
            <v>7.72716</v>
          </cell>
          <cell r="M584" t="str">
            <v>-73.51678</v>
          </cell>
        </row>
        <row r="585">
          <cell r="C585">
            <v>301046</v>
          </cell>
          <cell r="D585" t="str">
            <v>CM EDS BESOTES</v>
          </cell>
          <cell r="E585" t="str">
            <v>S</v>
          </cell>
          <cell r="F585" t="str">
            <v>20383</v>
          </cell>
          <cell r="H585" t="str">
            <v>KDX #120-1 CORREG DE BESOTE</v>
          </cell>
          <cell r="J585">
            <v>0</v>
          </cell>
          <cell r="L585" t="str">
            <v>8.49258166</v>
          </cell>
          <cell r="M585" t="str">
            <v>-73.63964833</v>
          </cell>
        </row>
        <row r="586">
          <cell r="C586">
            <v>301270</v>
          </cell>
          <cell r="D586" t="str">
            <v xml:space="preserve">CM 18 DE FEBRERO </v>
          </cell>
          <cell r="E586" t="str">
            <v>S</v>
          </cell>
          <cell r="F586" t="str">
            <v>20060</v>
          </cell>
          <cell r="H586" t="str">
            <v>KR 20A CL 29-35 BRR 18 DE FEBRERO</v>
          </cell>
          <cell r="J586">
            <v>0</v>
          </cell>
          <cell r="L586" t="str">
            <v>9.97840833</v>
          </cell>
          <cell r="M586" t="str">
            <v>-73.894435</v>
          </cell>
        </row>
        <row r="587">
          <cell r="C587">
            <v>302583</v>
          </cell>
          <cell r="D587" t="str">
            <v>CM EL PROGRESO</v>
          </cell>
          <cell r="E587" t="str">
            <v>S</v>
          </cell>
          <cell r="F587" t="str">
            <v>20032</v>
          </cell>
          <cell r="H587" t="str">
            <v>CR 5 CL 4-18 BARRIO LAS FLORES</v>
          </cell>
          <cell r="J587">
            <v>0</v>
          </cell>
          <cell r="L587" t="str">
            <v>9.53540</v>
          </cell>
          <cell r="M587" t="str">
            <v>-73.91134</v>
          </cell>
        </row>
        <row r="588">
          <cell r="C588">
            <v>300277</v>
          </cell>
          <cell r="D588" t="str">
            <v>CM VARIEDADES SAMY</v>
          </cell>
          <cell r="E588" t="str">
            <v>S</v>
          </cell>
          <cell r="F588" t="str">
            <v>20013</v>
          </cell>
          <cell r="H588" t="str">
            <v>CL 20 # 6-06 BARRIO SENA</v>
          </cell>
          <cell r="J588">
            <v>0</v>
          </cell>
          <cell r="L588" t="str">
            <v>10.039055</v>
          </cell>
          <cell r="M588" t="str">
            <v>-73.226499</v>
          </cell>
        </row>
        <row r="589">
          <cell r="C589">
            <v>302561</v>
          </cell>
          <cell r="D589" t="str">
            <v>CM EL SCORPIONS</v>
          </cell>
          <cell r="E589" t="str">
            <v>S</v>
          </cell>
          <cell r="F589" t="str">
            <v>20710</v>
          </cell>
          <cell r="H589" t="str">
            <v>CM 2A BIS # 8-90 LA ESMERALDA FRENTE A LA FERIA</v>
          </cell>
          <cell r="J589">
            <v>0</v>
          </cell>
          <cell r="L589" t="str">
            <v>7.755685</v>
          </cell>
          <cell r="M589" t="str">
            <v>-73.400554</v>
          </cell>
        </row>
        <row r="590">
          <cell r="C590">
            <v>302563</v>
          </cell>
          <cell r="D590" t="str">
            <v>CM EDITH SINIVA</v>
          </cell>
          <cell r="E590" t="str">
            <v>S</v>
          </cell>
          <cell r="F590" t="str">
            <v>20011</v>
          </cell>
          <cell r="H590" t="str">
            <v xml:space="preserve">MZ D LOTE 21 BARRIO VILLA PARAISO </v>
          </cell>
          <cell r="J590">
            <v>0</v>
          </cell>
          <cell r="L590" t="str">
            <v>8.29091</v>
          </cell>
          <cell r="M590" t="str">
            <v>-73.62237</v>
          </cell>
        </row>
        <row r="591">
          <cell r="C591">
            <v>302565</v>
          </cell>
          <cell r="D591" t="str">
            <v>CM MINGUILLO</v>
          </cell>
          <cell r="E591" t="str">
            <v>S</v>
          </cell>
          <cell r="F591" t="str">
            <v>20013</v>
          </cell>
          <cell r="H591" t="str">
            <v>CRR MINGUILLO FRENTE A LA CANCHA</v>
          </cell>
          <cell r="J591">
            <v>0</v>
          </cell>
          <cell r="L591" t="str">
            <v>9.942559</v>
          </cell>
          <cell r="M591" t="str">
            <v>-73.500411</v>
          </cell>
        </row>
        <row r="592">
          <cell r="C592">
            <v>301096</v>
          </cell>
          <cell r="D592" t="str">
            <v>CM NOREAN 2.0</v>
          </cell>
          <cell r="E592" t="str">
            <v>S</v>
          </cell>
          <cell r="F592" t="str">
            <v>20011</v>
          </cell>
          <cell r="H592" t="str">
            <v>KDX 81-NOREAN</v>
          </cell>
          <cell r="J592">
            <v>0</v>
          </cell>
          <cell r="L592" t="str">
            <v>8.38040719</v>
          </cell>
          <cell r="M592" t="str">
            <v>-73.61166839</v>
          </cell>
        </row>
        <row r="593">
          <cell r="C593">
            <v>300875</v>
          </cell>
          <cell r="D593" t="str">
            <v>CM JEDAR</v>
          </cell>
          <cell r="E593" t="str">
            <v>S</v>
          </cell>
          <cell r="F593" t="str">
            <v>20045</v>
          </cell>
          <cell r="H593" t="str">
            <v>CR 10 # 14A-6 BARRIO 11 DE ABRIL</v>
          </cell>
          <cell r="J593">
            <v>0</v>
          </cell>
          <cell r="L593" t="str">
            <v>9.69906</v>
          </cell>
          <cell r="M593" t="str">
            <v>-73.27787</v>
          </cell>
        </row>
        <row r="594">
          <cell r="C594">
            <v>301252</v>
          </cell>
          <cell r="D594" t="str">
            <v>CM METRO 2</v>
          </cell>
          <cell r="E594" t="str">
            <v>S</v>
          </cell>
          <cell r="F594" t="str">
            <v>20570</v>
          </cell>
          <cell r="H594" t="str">
            <v>CR 4B-112 BARRIO CEIBA</v>
          </cell>
          <cell r="J594">
            <v>0</v>
          </cell>
          <cell r="L594" t="str">
            <v>10.41204</v>
          </cell>
          <cell r="M594" t="str">
            <v>-73.59301</v>
          </cell>
        </row>
        <row r="595">
          <cell r="C595">
            <v>302169</v>
          </cell>
          <cell r="D595" t="str">
            <v>CM NUEVO COLON</v>
          </cell>
          <cell r="E595" t="str">
            <v>S</v>
          </cell>
          <cell r="F595" t="str">
            <v>20570</v>
          </cell>
          <cell r="H595" t="str">
            <v>CR VIA VALLEDUPAR KM 4-360 VDA EL REPOSO</v>
          </cell>
          <cell r="J595">
            <v>0</v>
          </cell>
          <cell r="L595" t="str">
            <v>10.38932</v>
          </cell>
          <cell r="M595" t="str">
            <v>-73.75027</v>
          </cell>
        </row>
        <row r="596">
          <cell r="C596">
            <v>7026</v>
          </cell>
          <cell r="D596" t="str">
            <v>ANTIGUO CDA GAMARRA</v>
          </cell>
          <cell r="E596" t="str">
            <v>S</v>
          </cell>
          <cell r="F596" t="str">
            <v>20295</v>
          </cell>
          <cell r="G596" t="str">
            <v xml:space="preserve">CDA </v>
          </cell>
          <cell r="H596" t="str">
            <v>CL||7|||||#|7||-|40|||</v>
          </cell>
          <cell r="J596">
            <v>0</v>
          </cell>
          <cell r="L596" t="str">
            <v>8.32228</v>
          </cell>
          <cell r="M596" t="str">
            <v>-73.74236</v>
          </cell>
        </row>
        <row r="597">
          <cell r="C597">
            <v>7101</v>
          </cell>
          <cell r="D597" t="str">
            <v>AMBULANTE CLARO ASTREA</v>
          </cell>
          <cell r="E597" t="str">
            <v>S</v>
          </cell>
          <cell r="F597" t="str">
            <v>20032</v>
          </cell>
          <cell r="G597" t="str">
            <v xml:space="preserve">AMB </v>
          </cell>
          <cell r="H597" t="str">
            <v>CL||7|||||#|3||-|76|||</v>
          </cell>
          <cell r="J597">
            <v>0</v>
          </cell>
        </row>
        <row r="598">
          <cell r="C598">
            <v>7185</v>
          </cell>
          <cell r="D598" t="str">
            <v>CM ENRIQUE AARON</v>
          </cell>
          <cell r="E598" t="str">
            <v>S</v>
          </cell>
          <cell r="F598" t="str">
            <v>20060</v>
          </cell>
          <cell r="G598" t="str">
            <v>CM</v>
          </cell>
          <cell r="H598" t="str">
            <v>CR||22|||||#|24||-|18|||</v>
          </cell>
          <cell r="J598">
            <v>0</v>
          </cell>
        </row>
        <row r="599">
          <cell r="C599">
            <v>7181</v>
          </cell>
          <cell r="D599" t="str">
            <v>CM CORREGIMIENTO EL MARQUEZ</v>
          </cell>
          <cell r="E599" t="str">
            <v>S</v>
          </cell>
          <cell r="F599" t="str">
            <v>20614</v>
          </cell>
          <cell r="G599" t="str">
            <v>CM</v>
          </cell>
          <cell r="H599" t="str">
            <v>OT|||||||||||||EL MARQUEZ|KRA 2</v>
          </cell>
          <cell r="J599">
            <v>0</v>
          </cell>
        </row>
        <row r="600">
          <cell r="C600">
            <v>7183</v>
          </cell>
          <cell r="D600" t="str">
            <v>CM CORREGIMIENTO MONTESITOS</v>
          </cell>
          <cell r="E600" t="str">
            <v>S</v>
          </cell>
          <cell r="F600" t="str">
            <v>20614</v>
          </cell>
          <cell r="G600" t="str">
            <v>CM</v>
          </cell>
          <cell r="H600" t="str">
            <v>KM 137-1</v>
          </cell>
          <cell r="J600">
            <v>0</v>
          </cell>
        </row>
        <row r="601">
          <cell r="C601">
            <v>7171</v>
          </cell>
          <cell r="D601" t="str">
            <v>CM LA MONA</v>
          </cell>
          <cell r="E601" t="str">
            <v>S</v>
          </cell>
          <cell r="F601" t="str">
            <v>20013</v>
          </cell>
          <cell r="G601" t="str">
            <v xml:space="preserve">CM </v>
          </cell>
          <cell r="H601" t="str">
            <v>AC||21|||||#|21||-|79|||</v>
          </cell>
          <cell r="J601">
            <v>120523</v>
          </cell>
          <cell r="L601" t="str">
            <v>10.03855</v>
          </cell>
          <cell r="M601" t="str">
            <v>-73.2333</v>
          </cell>
        </row>
        <row r="602">
          <cell r="C602">
            <v>7188</v>
          </cell>
          <cell r="D602" t="str">
            <v>CM VARIEDADES Y SAI MILADIS</v>
          </cell>
          <cell r="E602" t="str">
            <v>S</v>
          </cell>
          <cell r="F602" t="str">
            <v>20238</v>
          </cell>
          <cell r="G602" t="str">
            <v>CM</v>
          </cell>
          <cell r="H602" t="str">
            <v>CL||4|||||#|15|A|-|35|||</v>
          </cell>
          <cell r="J602">
            <v>0</v>
          </cell>
        </row>
        <row r="603">
          <cell r="C603">
            <v>7027</v>
          </cell>
          <cell r="D603" t="str">
            <v>AMBULANTE TIGO BOSCONIA</v>
          </cell>
          <cell r="E603" t="str">
            <v>S</v>
          </cell>
          <cell r="F603" t="str">
            <v>20060</v>
          </cell>
          <cell r="G603" t="str">
            <v>AMB</v>
          </cell>
          <cell r="H603" t="str">
            <v>CR||18|||||#|16||-|68|||</v>
          </cell>
          <cell r="J603">
            <v>0</v>
          </cell>
          <cell r="L603" t="str">
            <v>9.9723</v>
          </cell>
          <cell r="M603" t="str">
            <v>-73.8858</v>
          </cell>
        </row>
        <row r="604">
          <cell r="C604">
            <v>7058</v>
          </cell>
          <cell r="D604" t="str">
            <v>OFICINA PRINCIPAL CODAZZI</v>
          </cell>
          <cell r="E604" t="str">
            <v>S</v>
          </cell>
          <cell r="F604" t="str">
            <v>20013</v>
          </cell>
          <cell r="G604" t="str">
            <v xml:space="preserve">CDA </v>
          </cell>
          <cell r="H604" t="str">
            <v>CL||17|||||#|15||-|111|||</v>
          </cell>
          <cell r="J604">
            <v>120523</v>
          </cell>
          <cell r="L604" t="str">
            <v>10.03699</v>
          </cell>
          <cell r="M604" t="str">
            <v>-73.23657</v>
          </cell>
        </row>
        <row r="605">
          <cell r="C605">
            <v>7061</v>
          </cell>
          <cell r="D605" t="str">
            <v>AMBULANTE CLARO PUEBLO BELLO</v>
          </cell>
          <cell r="E605" t="str">
            <v>S</v>
          </cell>
          <cell r="F605" t="str">
            <v>20570</v>
          </cell>
          <cell r="G605" t="str">
            <v xml:space="preserve">AMB </v>
          </cell>
          <cell r="H605" t="str">
            <v>CL||9|||||#|4||-|169|||</v>
          </cell>
          <cell r="J605">
            <v>120523</v>
          </cell>
          <cell r="L605" t="str">
            <v>10.412562</v>
          </cell>
          <cell r="M605" t="str">
            <v>-73.590992</v>
          </cell>
        </row>
        <row r="606">
          <cell r="C606">
            <v>7076</v>
          </cell>
          <cell r="D606" t="str">
            <v>AMBULANTE MOVISTAR BECERRIL</v>
          </cell>
          <cell r="E606" t="str">
            <v>S</v>
          </cell>
          <cell r="F606" t="str">
            <v>20045</v>
          </cell>
          <cell r="G606" t="str">
            <v xml:space="preserve">AMB </v>
          </cell>
          <cell r="H606" t="str">
            <v>CL||9|||||#|3||-|77|||</v>
          </cell>
          <cell r="J606">
            <v>120523</v>
          </cell>
          <cell r="L606" t="str">
            <v>9.70359</v>
          </cell>
          <cell r="M606" t="str">
            <v>-73.28087</v>
          </cell>
        </row>
        <row r="607">
          <cell r="C607">
            <v>8671</v>
          </cell>
          <cell r="D607" t="str">
            <v>CM TIENDA LOS PINCHER</v>
          </cell>
          <cell r="E607" t="str">
            <v>S</v>
          </cell>
          <cell r="F607" t="str">
            <v>20001</v>
          </cell>
          <cell r="G607" t="str">
            <v>CM</v>
          </cell>
          <cell r="H607" t="str">
            <v>CL 37  18E - 92</v>
          </cell>
          <cell r="J607">
            <v>0</v>
          </cell>
        </row>
        <row r="608">
          <cell r="C608">
            <v>9011</v>
          </cell>
          <cell r="D608" t="str">
            <v>CM EL CENTRO</v>
          </cell>
          <cell r="E608" t="str">
            <v>S</v>
          </cell>
          <cell r="F608" t="str">
            <v>20621</v>
          </cell>
          <cell r="G608" t="str">
            <v xml:space="preserve">CM </v>
          </cell>
          <cell r="H608" t="str">
            <v>CL||6|||||#|9|A|-|65|||</v>
          </cell>
          <cell r="J608">
            <v>120523</v>
          </cell>
          <cell r="L608" t="str">
            <v>10.38638</v>
          </cell>
          <cell r="M608" t="str">
            <v>-73.170812</v>
          </cell>
        </row>
        <row r="609">
          <cell r="C609">
            <v>8548</v>
          </cell>
          <cell r="D609" t="str">
            <v>CM LA 26 CON 1</v>
          </cell>
          <cell r="E609" t="str">
            <v>S</v>
          </cell>
          <cell r="F609" t="str">
            <v>20011</v>
          </cell>
          <cell r="G609" t="str">
            <v>CM</v>
          </cell>
          <cell r="H609" t="str">
            <v>CL 0   26 - 14</v>
          </cell>
          <cell r="J609">
            <v>0</v>
          </cell>
        </row>
        <row r="610">
          <cell r="C610">
            <v>8730</v>
          </cell>
          <cell r="D610" t="str">
            <v>PDV TESO BNET VALLEDUPAR</v>
          </cell>
          <cell r="E610" t="str">
            <v>S</v>
          </cell>
          <cell r="F610" t="str">
            <v>20001</v>
          </cell>
          <cell r="G610" t="str">
            <v xml:space="preserve">SC </v>
          </cell>
          <cell r="J610">
            <v>0</v>
          </cell>
        </row>
        <row r="611">
          <cell r="C611">
            <v>8900</v>
          </cell>
          <cell r="D611" t="str">
            <v>CM NEYCAR</v>
          </cell>
          <cell r="E611" t="str">
            <v>S</v>
          </cell>
          <cell r="F611" t="str">
            <v>20060</v>
          </cell>
          <cell r="G611" t="str">
            <v>CM</v>
          </cell>
          <cell r="H611" t="str">
            <v>CR 20  19 - 04</v>
          </cell>
          <cell r="J611">
            <v>0</v>
          </cell>
        </row>
        <row r="612">
          <cell r="C612">
            <v>11166</v>
          </cell>
          <cell r="D612" t="str">
            <v>PDV ANTIGUO CDA COPEY</v>
          </cell>
          <cell r="E612" t="str">
            <v>S</v>
          </cell>
          <cell r="F612" t="str">
            <v>20238</v>
          </cell>
          <cell r="G612" t="str">
            <v xml:space="preserve">PDV </v>
          </cell>
          <cell r="H612" t="str">
            <v>CR||20|||||#|21||-|27|||</v>
          </cell>
          <cell r="J612">
            <v>120523</v>
          </cell>
          <cell r="L612" t="str">
            <v>10.14927</v>
          </cell>
          <cell r="M612" t="str">
            <v>-73.96068</v>
          </cell>
        </row>
        <row r="613">
          <cell r="C613">
            <v>7134</v>
          </cell>
          <cell r="D613" t="str">
            <v>OLIMPICA PPAL- DIAG16 17-69</v>
          </cell>
          <cell r="E613" t="str">
            <v>S</v>
          </cell>
          <cell r="F613" t="str">
            <v>20001</v>
          </cell>
          <cell r="G613" t="str">
            <v xml:space="preserve">CM </v>
          </cell>
          <cell r="H613" t="str">
            <v>CR||12|||||#|16||-|42|||</v>
          </cell>
          <cell r="J613">
            <v>120523</v>
          </cell>
          <cell r="L613" t="str">
            <v>10.4671</v>
          </cell>
          <cell r="M613" t="str">
            <v>-73.2522</v>
          </cell>
        </row>
        <row r="614">
          <cell r="C614">
            <v>8403</v>
          </cell>
          <cell r="D614" t="str">
            <v>CM CENTRO DE NEGOCIOS</v>
          </cell>
          <cell r="E614" t="str">
            <v>S</v>
          </cell>
          <cell r="F614" t="str">
            <v>20001</v>
          </cell>
          <cell r="G614" t="str">
            <v>CM</v>
          </cell>
          <cell r="H614" t="str">
            <v>CR 18E  21 - 03</v>
          </cell>
          <cell r="J614">
            <v>0</v>
          </cell>
        </row>
        <row r="615">
          <cell r="C615">
            <v>9139</v>
          </cell>
          <cell r="D615" t="str">
            <v>PDV LAS FLORES</v>
          </cell>
          <cell r="E615" t="str">
            <v>S</v>
          </cell>
          <cell r="F615" t="str">
            <v>20001</v>
          </cell>
          <cell r="G615" t="str">
            <v xml:space="preserve">PDV </v>
          </cell>
          <cell r="H615" t="str">
            <v>CR||19|||||#|7|A|-|6|||</v>
          </cell>
          <cell r="J615">
            <v>120523</v>
          </cell>
          <cell r="L615" t="str">
            <v>10.469355</v>
          </cell>
          <cell r="M615" t="str">
            <v>-73.262301</v>
          </cell>
        </row>
        <row r="616">
          <cell r="C616">
            <v>9180</v>
          </cell>
          <cell r="D616" t="str">
            <v>PDV ZAHIR. COM</v>
          </cell>
          <cell r="E616" t="str">
            <v>S</v>
          </cell>
          <cell r="F616" t="str">
            <v>20060</v>
          </cell>
          <cell r="G616" t="str">
            <v xml:space="preserve">PDV </v>
          </cell>
          <cell r="H616" t="str">
            <v>CL||8|||||#|9||-|265|||</v>
          </cell>
          <cell r="J616">
            <v>120523</v>
          </cell>
          <cell r="L616" t="str">
            <v>9.9771</v>
          </cell>
          <cell r="M616" t="str">
            <v>-73.8815</v>
          </cell>
        </row>
        <row r="617">
          <cell r="C617">
            <v>9210</v>
          </cell>
          <cell r="D617" t="str">
            <v>AMBULANTE MOVISTAR SAN EDUARDO</v>
          </cell>
          <cell r="E617" t="str">
            <v>S</v>
          </cell>
          <cell r="F617" t="str">
            <v>20011</v>
          </cell>
          <cell r="G617" t="str">
            <v xml:space="preserve">AMB </v>
          </cell>
          <cell r="H617" t="str">
            <v>CL||10|||||#|33||-|18|||</v>
          </cell>
          <cell r="J617">
            <v>120523</v>
          </cell>
          <cell r="L617" t="str">
            <v>8.318554</v>
          </cell>
          <cell r="M617" t="str">
            <v>-73.6016386</v>
          </cell>
        </row>
        <row r="618">
          <cell r="C618">
            <v>8110</v>
          </cell>
          <cell r="D618" t="str">
            <v>CM KIOSKO EL TERMINAL</v>
          </cell>
          <cell r="E618" t="str">
            <v>S</v>
          </cell>
          <cell r="F618" t="str">
            <v>20060</v>
          </cell>
          <cell r="G618" t="str">
            <v>CM</v>
          </cell>
          <cell r="H618" t="str">
            <v>CL 16 KR 17-5 APTO 201</v>
          </cell>
          <cell r="J618">
            <v>0</v>
          </cell>
        </row>
        <row r="619">
          <cell r="C619">
            <v>8331</v>
          </cell>
          <cell r="D619" t="str">
            <v>AMBULANTE CLARO LA PAZ</v>
          </cell>
          <cell r="E619" t="str">
            <v>S</v>
          </cell>
          <cell r="F619" t="str">
            <v>20621</v>
          </cell>
          <cell r="G619" t="str">
            <v xml:space="preserve">AMB </v>
          </cell>
          <cell r="H619" t="str">
            <v>CL||6|||||#|6||-|34|||</v>
          </cell>
          <cell r="J619">
            <v>120523</v>
          </cell>
          <cell r="L619" t="str">
            <v>10.386577</v>
          </cell>
          <cell r="M619" t="str">
            <v>-73.170702</v>
          </cell>
        </row>
        <row r="620">
          <cell r="C620">
            <v>8350</v>
          </cell>
          <cell r="D620" t="str">
            <v>CM SAN MARTIN 1</v>
          </cell>
          <cell r="E620" t="str">
            <v>S</v>
          </cell>
          <cell r="F620" t="str">
            <v>20770</v>
          </cell>
          <cell r="G620" t="str">
            <v>CM</v>
          </cell>
          <cell r="H620" t="str">
            <v>CL 21 N 8 - 23</v>
          </cell>
          <cell r="J620">
            <v>0</v>
          </cell>
        </row>
        <row r="621">
          <cell r="C621">
            <v>8351</v>
          </cell>
          <cell r="D621" t="str">
            <v>PDV PETROMIL</v>
          </cell>
          <cell r="E621" t="str">
            <v>S</v>
          </cell>
          <cell r="F621" t="str">
            <v>20001</v>
          </cell>
          <cell r="G621" t="str">
            <v xml:space="preserve">PDV </v>
          </cell>
          <cell r="H621" t="str">
            <v>CL||31|||||#|6|A|-|14|||</v>
          </cell>
          <cell r="J621">
            <v>120523</v>
          </cell>
          <cell r="L621" t="str">
            <v>10.445878</v>
          </cell>
          <cell r="M621" t="str">
            <v>-73.244649</v>
          </cell>
        </row>
        <row r="622">
          <cell r="C622">
            <v>8347</v>
          </cell>
          <cell r="D622" t="str">
            <v>CM LOS MILAGROS</v>
          </cell>
          <cell r="E622" t="str">
            <v>S</v>
          </cell>
          <cell r="F622" t="str">
            <v>20250</v>
          </cell>
          <cell r="G622" t="str">
            <v>CM</v>
          </cell>
          <cell r="H622" t="str">
            <v>CRA 5 BIS N 45 - 45</v>
          </cell>
          <cell r="J622">
            <v>0</v>
          </cell>
        </row>
        <row r="623">
          <cell r="C623">
            <v>13449</v>
          </cell>
          <cell r="D623" t="str">
            <v>PDV MARIA VALERIA</v>
          </cell>
          <cell r="E623" t="str">
            <v>S</v>
          </cell>
          <cell r="F623" t="str">
            <v>20001</v>
          </cell>
          <cell r="G623" t="str">
            <v xml:space="preserve">PDV </v>
          </cell>
          <cell r="H623" t="str">
            <v>OT||||||||||||||MZ 5 CASA 1</v>
          </cell>
          <cell r="J623">
            <v>120523</v>
          </cell>
          <cell r="L623" t="str">
            <v>10.445351</v>
          </cell>
          <cell r="M623" t="str">
            <v>-73.271942</v>
          </cell>
        </row>
        <row r="624">
          <cell r="C624">
            <v>17743</v>
          </cell>
          <cell r="D624" t="str">
            <v>CM INTERPLAN</v>
          </cell>
          <cell r="E624" t="str">
            <v>S</v>
          </cell>
          <cell r="F624" t="str">
            <v>20383</v>
          </cell>
          <cell r="G624" t="str">
            <v xml:space="preserve">CM </v>
          </cell>
          <cell r="H624" t="str">
            <v>OT||||||||||||||KDX 144</v>
          </cell>
          <cell r="J624">
            <v>120523</v>
          </cell>
          <cell r="L624" t="str">
            <v>8.59967</v>
          </cell>
          <cell r="M624" t="str">
            <v>-73.586927</v>
          </cell>
        </row>
        <row r="625">
          <cell r="C625">
            <v>20583</v>
          </cell>
          <cell r="D625" t="str">
            <v>CM VARIEDADES MARIELNET</v>
          </cell>
          <cell r="E625" t="str">
            <v>S</v>
          </cell>
          <cell r="F625" t="str">
            <v>20032</v>
          </cell>
          <cell r="G625" t="str">
            <v xml:space="preserve">CM </v>
          </cell>
          <cell r="H625" t="str">
            <v>CL||16|||||#|4||-|63|||</v>
          </cell>
          <cell r="J625">
            <v>120523</v>
          </cell>
          <cell r="L625" t="str">
            <v>9.4987</v>
          </cell>
          <cell r="M625" t="str">
            <v>-73.9769</v>
          </cell>
        </row>
        <row r="626">
          <cell r="C626">
            <v>8098</v>
          </cell>
          <cell r="D626" t="str">
            <v>PDV LOCAL LA CANCHA</v>
          </cell>
          <cell r="E626" t="str">
            <v>S</v>
          </cell>
          <cell r="F626" t="str">
            <v>20011</v>
          </cell>
          <cell r="G626" t="str">
            <v xml:space="preserve">PDV </v>
          </cell>
          <cell r="H626" t="str">
            <v>CL||10|||||#|39||-|128|||</v>
          </cell>
          <cell r="J626">
            <v>120523</v>
          </cell>
          <cell r="L626" t="str">
            <v>8.306933</v>
          </cell>
          <cell r="M626" t="str">
            <v>-73.613579</v>
          </cell>
        </row>
        <row r="627">
          <cell r="C627">
            <v>16811</v>
          </cell>
          <cell r="D627" t="str">
            <v>PDV LA MINA</v>
          </cell>
          <cell r="E627" t="str">
            <v>S</v>
          </cell>
          <cell r="F627" t="str">
            <v>20001</v>
          </cell>
          <cell r="G627" t="str">
            <v xml:space="preserve">PDV </v>
          </cell>
          <cell r="H627" t="str">
            <v>CL||6|||||#|8||-|57|||</v>
          </cell>
          <cell r="J627">
            <v>120523</v>
          </cell>
          <cell r="L627" t="str">
            <v>10.702653</v>
          </cell>
          <cell r="M627" t="str">
            <v>-73.291802</v>
          </cell>
        </row>
        <row r="628">
          <cell r="C628">
            <v>9111</v>
          </cell>
          <cell r="D628" t="str">
            <v>CM LLERASCA</v>
          </cell>
          <cell r="E628" t="str">
            <v>S</v>
          </cell>
          <cell r="F628" t="str">
            <v>20013</v>
          </cell>
          <cell r="G628" t="str">
            <v xml:space="preserve">CM </v>
          </cell>
          <cell r="H628" t="str">
            <v>CL||4|||||#|4||-|121|||</v>
          </cell>
          <cell r="J628">
            <v>120523</v>
          </cell>
          <cell r="L628" t="str">
            <v>9.86405</v>
          </cell>
          <cell r="M628" t="str">
            <v>-73.25021</v>
          </cell>
        </row>
        <row r="629">
          <cell r="C629">
            <v>7233</v>
          </cell>
          <cell r="D629" t="str">
            <v>PDV LOCAL SABANITA</v>
          </cell>
          <cell r="E629" t="str">
            <v>S</v>
          </cell>
          <cell r="F629" t="str">
            <v>20011</v>
          </cell>
          <cell r="G629" t="str">
            <v xml:space="preserve">PDV </v>
          </cell>
          <cell r="H629" t="str">
            <v>CL||10|||||#|39||-|128|||</v>
          </cell>
          <cell r="J629">
            <v>120523</v>
          </cell>
          <cell r="L629" t="str">
            <v>8.319767</v>
          </cell>
          <cell r="M629" t="str">
            <v>-73.5978185</v>
          </cell>
        </row>
        <row r="630">
          <cell r="C630">
            <v>8376</v>
          </cell>
          <cell r="D630" t="str">
            <v>PDV NUEVA COLOMBIA</v>
          </cell>
          <cell r="E630" t="str">
            <v>S</v>
          </cell>
          <cell r="F630" t="str">
            <v>20011</v>
          </cell>
          <cell r="G630" t="str">
            <v xml:space="preserve">PDV </v>
          </cell>
          <cell r="H630" t="str">
            <v>CL||16|||||#|10|C|-|75|||</v>
          </cell>
          <cell r="J630">
            <v>120523</v>
          </cell>
          <cell r="L630" t="str">
            <v>8.3167621</v>
          </cell>
          <cell r="M630" t="str">
            <v>-73.5935562</v>
          </cell>
        </row>
        <row r="631">
          <cell r="C631">
            <v>7107</v>
          </cell>
          <cell r="D631" t="str">
            <v>AMBULANTE TIGO VENTA PORC</v>
          </cell>
          <cell r="E631" t="str">
            <v>S</v>
          </cell>
          <cell r="F631" t="str">
            <v>20001</v>
          </cell>
          <cell r="G631" t="str">
            <v xml:space="preserve">AMB </v>
          </cell>
          <cell r="H631" t="str">
            <v>CL||16|A||||#|9||-|63|||</v>
          </cell>
          <cell r="J631">
            <v>0</v>
          </cell>
          <cell r="L631" t="str">
            <v>10.473</v>
          </cell>
          <cell r="M631" t="str">
            <v>-73.2494</v>
          </cell>
        </row>
        <row r="632">
          <cell r="C632">
            <v>7108</v>
          </cell>
          <cell r="D632" t="str">
            <v>AMBULANTE MOVISTAR VENTA PORC</v>
          </cell>
          <cell r="E632" t="str">
            <v>S</v>
          </cell>
          <cell r="F632" t="str">
            <v>20001</v>
          </cell>
          <cell r="G632" t="str">
            <v xml:space="preserve">AMB </v>
          </cell>
          <cell r="H632" t="str">
            <v>CL||16|A||||#|9||-|63|||</v>
          </cell>
          <cell r="J632">
            <v>0</v>
          </cell>
          <cell r="L632" t="str">
            <v>10.473</v>
          </cell>
          <cell r="M632" t="str">
            <v>-73.2494</v>
          </cell>
        </row>
        <row r="633">
          <cell r="C633">
            <v>23900</v>
          </cell>
          <cell r="D633" t="str">
            <v>CM REBAJA PLUS 10 VALLEDUPAR</v>
          </cell>
          <cell r="E633" t="str">
            <v>S</v>
          </cell>
          <cell r="F633" t="str">
            <v>20001</v>
          </cell>
          <cell r="G633" t="str">
            <v xml:space="preserve">CM </v>
          </cell>
          <cell r="H633" t="str">
            <v>CR||23|||||#|11|A|-|16|||</v>
          </cell>
          <cell r="J633">
            <v>120523</v>
          </cell>
          <cell r="L633" t="str">
            <v>10.472639</v>
          </cell>
          <cell r="M633" t="str">
            <v>-73.268049</v>
          </cell>
        </row>
        <row r="634">
          <cell r="C634">
            <v>24058</v>
          </cell>
          <cell r="D634" t="str">
            <v>PDV OLIMPICA AGUACHICA</v>
          </cell>
          <cell r="E634" t="str">
            <v>S</v>
          </cell>
          <cell r="F634" t="str">
            <v>20011</v>
          </cell>
          <cell r="G634" t="str">
            <v xml:space="preserve">PDV </v>
          </cell>
          <cell r="H634" t="str">
            <v>CR||5|||||#|23||-|73|||</v>
          </cell>
          <cell r="J634">
            <v>120523</v>
          </cell>
          <cell r="L634" t="str">
            <v>8.309984722</v>
          </cell>
          <cell r="M634" t="str">
            <v>-73.61129905</v>
          </cell>
        </row>
        <row r="635">
          <cell r="C635">
            <v>42479</v>
          </cell>
          <cell r="D635" t="str">
            <v>PDV DISTRIBUCIONES EVOPLAST</v>
          </cell>
          <cell r="E635" t="str">
            <v>S</v>
          </cell>
          <cell r="F635" t="str">
            <v>20001</v>
          </cell>
          <cell r="H635" t="str">
            <v xml:space="preserve">OT||||||||||||||MZ 89 CASA 19 AP 2 </v>
          </cell>
          <cell r="J635">
            <v>120523</v>
          </cell>
          <cell r="L635" t="str">
            <v>10.4719</v>
          </cell>
          <cell r="M635" t="str">
            <v>-73.2725</v>
          </cell>
        </row>
        <row r="636">
          <cell r="C636">
            <v>40355</v>
          </cell>
          <cell r="D636" t="str">
            <v>PDV ANTIGUO CDA SAN DIEGO</v>
          </cell>
          <cell r="E636" t="str">
            <v>S</v>
          </cell>
          <cell r="F636" t="str">
            <v>20750</v>
          </cell>
          <cell r="G636" t="str">
            <v xml:space="preserve">PDV </v>
          </cell>
          <cell r="H636" t="str">
            <v>CL||4|||||#|8||-|47|||</v>
          </cell>
          <cell r="J636">
            <v>120523</v>
          </cell>
          <cell r="L636" t="str">
            <v>10.333915</v>
          </cell>
          <cell r="M636" t="str">
            <v>-73.179432</v>
          </cell>
        </row>
        <row r="637">
          <cell r="C637">
            <v>40612</v>
          </cell>
          <cell r="D637" t="str">
            <v>CM EL GUAMO</v>
          </cell>
          <cell r="E637" t="str">
            <v>S</v>
          </cell>
          <cell r="F637" t="str">
            <v>20175</v>
          </cell>
          <cell r="G637" t="str">
            <v xml:space="preserve">CM </v>
          </cell>
          <cell r="H637" t="str">
            <v>CL||2|||||#|2||-|20|||</v>
          </cell>
          <cell r="J637">
            <v>120523</v>
          </cell>
          <cell r="L637" t="str">
            <v>9.213494</v>
          </cell>
          <cell r="M637" t="str">
            <v>-73.903454</v>
          </cell>
        </row>
        <row r="638">
          <cell r="C638">
            <v>42375</v>
          </cell>
          <cell r="D638" t="str">
            <v>CM DROGUERIA MARCAS NY</v>
          </cell>
          <cell r="E638" t="str">
            <v>S</v>
          </cell>
          <cell r="F638" t="str">
            <v>20001</v>
          </cell>
          <cell r="H638" t="str">
            <v>OT||||||||||||||SECTOR 1 MZ 7- 4 APTO 1</v>
          </cell>
          <cell r="J638">
            <v>120523</v>
          </cell>
          <cell r="L638" t="str">
            <v>10.4765083</v>
          </cell>
          <cell r="M638" t="str">
            <v>-73.290371</v>
          </cell>
        </row>
        <row r="639">
          <cell r="C639">
            <v>39670</v>
          </cell>
          <cell r="D639" t="str">
            <v>CM EL PARAISO</v>
          </cell>
          <cell r="E639" t="str">
            <v>S</v>
          </cell>
          <cell r="F639" t="str">
            <v>20750</v>
          </cell>
          <cell r="G639" t="str">
            <v xml:space="preserve">CM </v>
          </cell>
          <cell r="H639" t="str">
            <v>CR||11|||||#|2|C|-|76|||</v>
          </cell>
          <cell r="J639">
            <v>120523</v>
          </cell>
          <cell r="L639" t="str">
            <v>10.3315</v>
          </cell>
          <cell r="M639" t="str">
            <v>-73.1828</v>
          </cell>
        </row>
        <row r="640">
          <cell r="C640">
            <v>39945</v>
          </cell>
          <cell r="D640" t="str">
            <v>TAT VARIEDADES TAIRA</v>
          </cell>
          <cell r="E640" t="str">
            <v>S</v>
          </cell>
          <cell r="F640" t="str">
            <v>20400</v>
          </cell>
          <cell r="G640" t="str">
            <v xml:space="preserve">TAT </v>
          </cell>
          <cell r="H640" t="str">
            <v>CR||4|||||#|7||-|2|||</v>
          </cell>
          <cell r="J640">
            <v>120523</v>
          </cell>
          <cell r="L640" t="str">
            <v>9.5875</v>
          </cell>
          <cell r="M640" t="str">
            <v>-73.2334</v>
          </cell>
        </row>
        <row r="641">
          <cell r="C641">
            <v>39966</v>
          </cell>
          <cell r="D641" t="str">
            <v>PDV CALLE 11</v>
          </cell>
          <cell r="E641" t="str">
            <v>S</v>
          </cell>
          <cell r="F641" t="str">
            <v>20228</v>
          </cell>
          <cell r="G641" t="str">
            <v xml:space="preserve">PDV </v>
          </cell>
          <cell r="H641" t="str">
            <v>CL||11|||||#|8||-|7|||</v>
          </cell>
          <cell r="J641">
            <v>120523</v>
          </cell>
          <cell r="L641" t="str">
            <v>9.200645</v>
          </cell>
          <cell r="M641" t="str">
            <v>-73.544125</v>
          </cell>
        </row>
        <row r="642">
          <cell r="C642">
            <v>40339</v>
          </cell>
          <cell r="D642" t="str">
            <v>CM VARIEDADES JANIS</v>
          </cell>
          <cell r="E642" t="str">
            <v>S</v>
          </cell>
          <cell r="F642" t="str">
            <v>20001</v>
          </cell>
          <cell r="G642" t="str">
            <v xml:space="preserve">CM </v>
          </cell>
          <cell r="H642" t="str">
            <v>OT||||||||||||||MZ 12 CA 18 VILLACONSUELO</v>
          </cell>
          <cell r="J642">
            <v>120523</v>
          </cell>
          <cell r="L642" t="str">
            <v>10.481284</v>
          </cell>
          <cell r="M642" t="str">
            <v>-73.290825</v>
          </cell>
        </row>
        <row r="643">
          <cell r="C643">
            <v>42462</v>
          </cell>
          <cell r="D643" t="str">
            <v>PDV TRANSV  LA 23 FUNDADORES</v>
          </cell>
          <cell r="E643" t="str">
            <v>S</v>
          </cell>
          <cell r="F643" t="str">
            <v>20001</v>
          </cell>
          <cell r="H643" t="str">
            <v>TR||23|||||#|19|A|-|48|||</v>
          </cell>
          <cell r="J643">
            <v>120523</v>
          </cell>
          <cell r="L643" t="str">
            <v>10.458354</v>
          </cell>
          <cell r="M643" t="str">
            <v>-73.258277</v>
          </cell>
        </row>
        <row r="644">
          <cell r="C644">
            <v>40704</v>
          </cell>
          <cell r="D644" t="str">
            <v>PDV PERIJA</v>
          </cell>
          <cell r="E644" t="str">
            <v>S</v>
          </cell>
          <cell r="F644" t="str">
            <v>20013</v>
          </cell>
          <cell r="G644" t="str">
            <v xml:space="preserve">PDV </v>
          </cell>
          <cell r="H644" t="str">
            <v>CR||16|||||#|12||-|17|||</v>
          </cell>
          <cell r="J644">
            <v>120523</v>
          </cell>
          <cell r="L644" t="str">
            <v>10.033403</v>
          </cell>
          <cell r="M644" t="str">
            <v>-73.23593</v>
          </cell>
        </row>
        <row r="645">
          <cell r="C645">
            <v>40755</v>
          </cell>
          <cell r="D645" t="str">
            <v>PDV MEDIA LUNA</v>
          </cell>
          <cell r="E645" t="str">
            <v>S</v>
          </cell>
          <cell r="F645" t="str">
            <v>20750</v>
          </cell>
          <cell r="G645" t="str">
            <v xml:space="preserve">PDV </v>
          </cell>
          <cell r="H645" t="str">
            <v>CL||3|||||#|4||-|46|||</v>
          </cell>
          <cell r="J645">
            <v>120523</v>
          </cell>
          <cell r="L645" t="str">
            <v>10.24356</v>
          </cell>
          <cell r="M645" t="str">
            <v>-73.14031</v>
          </cell>
        </row>
        <row r="646">
          <cell r="C646">
            <v>40541</v>
          </cell>
          <cell r="D646" t="str">
            <v>TAT TRADICION</v>
          </cell>
          <cell r="E646" t="str">
            <v>S</v>
          </cell>
          <cell r="F646" t="str">
            <v>20787</v>
          </cell>
          <cell r="G646" t="str">
            <v xml:space="preserve">TAT </v>
          </cell>
          <cell r="H646" t="str">
            <v>CL||5|||||#|5||-|73|||</v>
          </cell>
          <cell r="J646">
            <v>120523</v>
          </cell>
          <cell r="L646" t="str">
            <v>8.8576</v>
          </cell>
          <cell r="M646" t="str">
            <v>-73.8156</v>
          </cell>
        </row>
        <row r="647">
          <cell r="C647">
            <v>41091</v>
          </cell>
          <cell r="D647" t="str">
            <v>PDV LOS BRASILES</v>
          </cell>
          <cell r="E647" t="str">
            <v>S</v>
          </cell>
          <cell r="F647" t="str">
            <v>20750</v>
          </cell>
          <cell r="H647" t="str">
            <v>CL||1|||||#|1||-|1|||</v>
          </cell>
          <cell r="J647">
            <v>120523</v>
          </cell>
          <cell r="L647" t="str">
            <v>10.1836</v>
          </cell>
          <cell r="M647" t="str">
            <v>-73.2664</v>
          </cell>
        </row>
        <row r="648">
          <cell r="C648">
            <v>41093</v>
          </cell>
          <cell r="D648" t="str">
            <v xml:space="preserve">PDV FRAY JOAQUIN </v>
          </cell>
          <cell r="E648" t="str">
            <v>S</v>
          </cell>
          <cell r="F648" t="str">
            <v>20621</v>
          </cell>
          <cell r="H648" t="str">
            <v>CR||9|||||#|10||-|56|||</v>
          </cell>
          <cell r="J648">
            <v>120523</v>
          </cell>
          <cell r="L648" t="str">
            <v>10.386957</v>
          </cell>
          <cell r="M648" t="str">
            <v>-73.165817</v>
          </cell>
        </row>
        <row r="649">
          <cell r="C649">
            <v>41094</v>
          </cell>
          <cell r="D649" t="str">
            <v>PDV LAS PALMITAS</v>
          </cell>
          <cell r="E649" t="str">
            <v>S</v>
          </cell>
          <cell r="F649" t="str">
            <v>20400</v>
          </cell>
          <cell r="H649" t="str">
            <v>CL||2|||||#|3||-|72|||</v>
          </cell>
          <cell r="J649">
            <v>120523</v>
          </cell>
          <cell r="L649" t="str">
            <v>9.50315</v>
          </cell>
          <cell r="M649" t="str">
            <v>-73.404856</v>
          </cell>
        </row>
        <row r="650">
          <cell r="C650">
            <v>42469</v>
          </cell>
          <cell r="D650" t="str">
            <v>AMBULANTE MOVISTAR N CODAZZI</v>
          </cell>
          <cell r="E650" t="str">
            <v>S</v>
          </cell>
          <cell r="F650" t="str">
            <v>20013</v>
          </cell>
          <cell r="H650" t="str">
            <v>CL||17|||||#|15||-|111|||</v>
          </cell>
          <cell r="J650">
            <v>120523</v>
          </cell>
          <cell r="L650" t="str">
            <v>10.032956</v>
          </cell>
          <cell r="M650" t="str">
            <v>-73.236511</v>
          </cell>
        </row>
        <row r="651">
          <cell r="C651">
            <v>42495</v>
          </cell>
          <cell r="D651" t="str">
            <v>CM ARCOIRIS</v>
          </cell>
          <cell r="E651" t="str">
            <v>S</v>
          </cell>
          <cell r="F651" t="str">
            <v>20013</v>
          </cell>
          <cell r="H651" t="str">
            <v>CR||6|||||#|10||-|49|||</v>
          </cell>
          <cell r="J651">
            <v>120523</v>
          </cell>
          <cell r="L651" t="str">
            <v>9.83396</v>
          </cell>
          <cell r="M651" t="str">
            <v>-73.26162</v>
          </cell>
        </row>
        <row r="652">
          <cell r="C652">
            <v>43357</v>
          </cell>
          <cell r="D652" t="str">
            <v>CM VARIEDADES FRANKLIN JOSE</v>
          </cell>
          <cell r="E652" t="str">
            <v>S</v>
          </cell>
          <cell r="F652" t="str">
            <v>20001</v>
          </cell>
          <cell r="H652" t="str">
            <v>CL||4|||||#|41||-|7|||</v>
          </cell>
          <cell r="J652">
            <v>0</v>
          </cell>
          <cell r="L652" t="str">
            <v>10.481995</v>
          </cell>
          <cell r="M652" t="str">
            <v>-73.282746</v>
          </cell>
        </row>
        <row r="653">
          <cell r="C653">
            <v>43514</v>
          </cell>
          <cell r="D653" t="str">
            <v>CM LISETH</v>
          </cell>
          <cell r="E653" t="str">
            <v>S</v>
          </cell>
          <cell r="F653" t="str">
            <v>20011</v>
          </cell>
          <cell r="H653" t="str">
            <v>CL||10|||||#|35||-|54|||</v>
          </cell>
          <cell r="J653">
            <v>120523</v>
          </cell>
          <cell r="L653" t="str">
            <v>8.3184813</v>
          </cell>
          <cell r="M653" t="str">
            <v>-73.6017518</v>
          </cell>
        </row>
        <row r="654">
          <cell r="C654">
            <v>43651</v>
          </cell>
          <cell r="D654" t="str">
            <v xml:space="preserve">TAT PROVISIONES LA ABUE 2 </v>
          </cell>
          <cell r="E654" t="str">
            <v>S</v>
          </cell>
          <cell r="F654" t="str">
            <v>20621</v>
          </cell>
          <cell r="H654" t="str">
            <v>CR||9|||||#|1|N|-|11|||</v>
          </cell>
          <cell r="J654">
            <v>120523</v>
          </cell>
          <cell r="L654" t="str">
            <v>10.386717</v>
          </cell>
          <cell r="M654" t="str">
            <v>-73.17062</v>
          </cell>
        </row>
        <row r="655">
          <cell r="C655">
            <v>43655</v>
          </cell>
          <cell r="D655" t="str">
            <v>CDA VALLEDUPAR ORBICENTRO</v>
          </cell>
          <cell r="E655" t="str">
            <v>S</v>
          </cell>
          <cell r="F655" t="str">
            <v>20001</v>
          </cell>
          <cell r="H655" t="str">
            <v>CL||16|||||#|9||-|2|||</v>
          </cell>
          <cell r="J655">
            <v>120523</v>
          </cell>
          <cell r="L655" t="str">
            <v>10.4753</v>
          </cell>
          <cell r="M655" t="str">
            <v>-73.2473</v>
          </cell>
        </row>
        <row r="656">
          <cell r="C656">
            <v>43630</v>
          </cell>
          <cell r="D656" t="str">
            <v>TAT SEBANET</v>
          </cell>
          <cell r="E656" t="str">
            <v>S</v>
          </cell>
          <cell r="F656" t="str">
            <v>20250</v>
          </cell>
          <cell r="H656" t="str">
            <v>CL||4|||||#|4||-|36|||</v>
          </cell>
          <cell r="J656">
            <v>120523</v>
          </cell>
          <cell r="L656" t="str">
            <v>9.6172</v>
          </cell>
          <cell r="M656" t="str">
            <v>-73.6041</v>
          </cell>
        </row>
        <row r="657">
          <cell r="C657">
            <v>40491</v>
          </cell>
          <cell r="D657" t="str">
            <v xml:space="preserve">PDV LA MANPANA </v>
          </cell>
          <cell r="E657" t="str">
            <v>S</v>
          </cell>
          <cell r="F657" t="str">
            <v>20001</v>
          </cell>
          <cell r="G657" t="str">
            <v xml:space="preserve">PDV </v>
          </cell>
          <cell r="H657" t="str">
            <v>OT||||||||||||||MZ5 CA 27 RAFAEL ESCALONA</v>
          </cell>
          <cell r="J657">
            <v>120523</v>
          </cell>
          <cell r="L657" t="str">
            <v>10.4532</v>
          </cell>
          <cell r="M657" t="str">
            <v>-73.2817</v>
          </cell>
        </row>
        <row r="658">
          <cell r="C658">
            <v>8187</v>
          </cell>
          <cell r="D658" t="str">
            <v xml:space="preserve">PDV MERKA EXPRESS </v>
          </cell>
          <cell r="E658" t="str">
            <v>S</v>
          </cell>
          <cell r="F658" t="str">
            <v>20001</v>
          </cell>
          <cell r="G658" t="str">
            <v xml:space="preserve">PDV </v>
          </cell>
          <cell r="H658" t="str">
            <v>CL||44|A||||#|43||-|05|||</v>
          </cell>
          <cell r="J658">
            <v>120523</v>
          </cell>
          <cell r="L658" t="str">
            <v>10.4565</v>
          </cell>
          <cell r="M658" t="str">
            <v>-73.2465</v>
          </cell>
        </row>
        <row r="659">
          <cell r="C659">
            <v>44941</v>
          </cell>
          <cell r="D659" t="str">
            <v xml:space="preserve">CM SAN MIGUEL ARCANGEL </v>
          </cell>
          <cell r="E659" t="str">
            <v>S</v>
          </cell>
          <cell r="F659" t="str">
            <v>20787</v>
          </cell>
          <cell r="H659" t="str">
            <v>CL||13|||||#|5||-|10|||</v>
          </cell>
          <cell r="J659">
            <v>120523</v>
          </cell>
          <cell r="L659" t="str">
            <v>8.86274667</v>
          </cell>
          <cell r="M659" t="str">
            <v>-73.8045241</v>
          </cell>
        </row>
        <row r="660">
          <cell r="C660">
            <v>47120</v>
          </cell>
          <cell r="D660" t="str">
            <v>AMBULANTE EL COPEY CLARO</v>
          </cell>
          <cell r="E660" t="str">
            <v>S</v>
          </cell>
          <cell r="F660" t="str">
            <v>20238</v>
          </cell>
          <cell r="H660" t="str">
            <v>CE 14 # 8A-100</v>
          </cell>
          <cell r="J660">
            <v>0</v>
          </cell>
          <cell r="L660" t="str">
            <v>10.148414</v>
          </cell>
          <cell r="M660" t="str">
            <v>-73.959515</v>
          </cell>
        </row>
        <row r="661">
          <cell r="C661">
            <v>47144</v>
          </cell>
          <cell r="D661" t="str">
            <v>AMBULANTE ASTREA CLARO</v>
          </cell>
          <cell r="E661" t="str">
            <v>S</v>
          </cell>
          <cell r="F661" t="str">
            <v>20032</v>
          </cell>
          <cell r="H661" t="str">
            <v>CL 7 # 3-76</v>
          </cell>
          <cell r="J661">
            <v>0</v>
          </cell>
          <cell r="L661" t="str">
            <v>9.4979</v>
          </cell>
          <cell r="M661" t="str">
            <v>-73.9779</v>
          </cell>
        </row>
        <row r="662">
          <cell r="C662">
            <v>44638</v>
          </cell>
          <cell r="D662" t="str">
            <v xml:space="preserve">CM ECONOMIA HOSPITALARIA </v>
          </cell>
          <cell r="E662" t="str">
            <v>S</v>
          </cell>
          <cell r="F662" t="str">
            <v>20001</v>
          </cell>
          <cell r="H662" t="str">
            <v>CL||16|||||#|17|A|-|2|||</v>
          </cell>
          <cell r="J662">
            <v>120523</v>
          </cell>
          <cell r="L662" t="str">
            <v>10.4704</v>
          </cell>
          <cell r="M662" t="str">
            <v>-73.2547</v>
          </cell>
        </row>
        <row r="663">
          <cell r="C663">
            <v>44966</v>
          </cell>
          <cell r="D663" t="str">
            <v xml:space="preserve">CM SANTA RITA </v>
          </cell>
          <cell r="E663" t="str">
            <v>S</v>
          </cell>
          <cell r="F663" t="str">
            <v>20178</v>
          </cell>
          <cell r="H663" t="str">
            <v>CL||4|||||#|2||-|13|||</v>
          </cell>
          <cell r="J663">
            <v>120523</v>
          </cell>
          <cell r="L663" t="str">
            <v>9.3695</v>
          </cell>
          <cell r="M663" t="str">
            <v>-73.5194</v>
          </cell>
        </row>
        <row r="664">
          <cell r="C664">
            <v>45331</v>
          </cell>
          <cell r="D664" t="str">
            <v>CM 1 DE ABRIL</v>
          </cell>
          <cell r="E664" t="str">
            <v>S</v>
          </cell>
          <cell r="F664" t="str">
            <v>20710</v>
          </cell>
          <cell r="H664" t="str">
            <v>CL||1|A||||#|1|A|-|128|||</v>
          </cell>
          <cell r="J664">
            <v>120523</v>
          </cell>
          <cell r="L664" t="str">
            <v>7.765643</v>
          </cell>
          <cell r="M664" t="str">
            <v>-73.389916</v>
          </cell>
        </row>
        <row r="665">
          <cell r="C665">
            <v>45337</v>
          </cell>
          <cell r="D665" t="str">
            <v>CM YURIS</v>
          </cell>
          <cell r="E665" t="str">
            <v>S</v>
          </cell>
          <cell r="F665" t="str">
            <v>20710</v>
          </cell>
          <cell r="H665" t="str">
            <v>CL||4|||||#|7|A|-|3|||</v>
          </cell>
          <cell r="J665">
            <v>120523</v>
          </cell>
          <cell r="L665" t="str">
            <v>7.757376</v>
          </cell>
          <cell r="M665" t="str">
            <v>-73.394001</v>
          </cell>
        </row>
        <row r="666">
          <cell r="C666">
            <v>45479</v>
          </cell>
          <cell r="D666" t="str">
            <v>PDV LA 14</v>
          </cell>
          <cell r="E666" t="str">
            <v>S</v>
          </cell>
          <cell r="F666" t="str">
            <v>20011</v>
          </cell>
          <cell r="H666" t="str">
            <v>CR||14|||||#|3||-|32|||</v>
          </cell>
          <cell r="J666">
            <v>120523</v>
          </cell>
          <cell r="L666" t="str">
            <v>8.310952</v>
          </cell>
          <cell r="M666" t="str">
            <v>-73.62046</v>
          </cell>
        </row>
        <row r="667">
          <cell r="C667">
            <v>46262</v>
          </cell>
          <cell r="D667" t="str">
            <v>CM 25 DE DICIEMBRE</v>
          </cell>
          <cell r="E667" t="str">
            <v>S</v>
          </cell>
          <cell r="F667" t="str">
            <v>20001</v>
          </cell>
          <cell r="H667" t="str">
            <v>CR||19|||||#|56||-|11|||</v>
          </cell>
          <cell r="J667">
            <v>260523</v>
          </cell>
          <cell r="L667" t="str">
            <v>10.4385</v>
          </cell>
          <cell r="M667" t="str">
            <v>-73.2468</v>
          </cell>
        </row>
        <row r="668">
          <cell r="C668">
            <v>46689</v>
          </cell>
          <cell r="D668" t="str">
            <v>CM VARIEDADES MALÚ</v>
          </cell>
          <cell r="E668" t="str">
            <v>S</v>
          </cell>
          <cell r="F668" t="str">
            <v>20238</v>
          </cell>
          <cell r="H668" t="str">
            <v>CL 11 # 18-06 CENTRO</v>
          </cell>
          <cell r="J668">
            <v>0</v>
          </cell>
          <cell r="L668" t="str">
            <v>10.149470</v>
          </cell>
          <cell r="M668" t="str">
            <v>-73.963080</v>
          </cell>
        </row>
        <row r="669">
          <cell r="C669">
            <v>44802</v>
          </cell>
          <cell r="D669" t="str">
            <v xml:space="preserve">PDV PANADERIA GALAN </v>
          </cell>
          <cell r="E669" t="str">
            <v>S</v>
          </cell>
          <cell r="F669" t="str">
            <v>20001</v>
          </cell>
          <cell r="H669" t="str">
            <v>CR||12|||||#|14||-|5|||</v>
          </cell>
          <cell r="J669">
            <v>120523</v>
          </cell>
          <cell r="L669" t="str">
            <v>10.4753</v>
          </cell>
          <cell r="M669" t="str">
            <v>-73.2508</v>
          </cell>
        </row>
        <row r="670">
          <cell r="C670">
            <v>44847</v>
          </cell>
          <cell r="D670" t="str">
            <v xml:space="preserve">CM ENTRADA ARIZONA </v>
          </cell>
          <cell r="E670" t="str">
            <v>S</v>
          </cell>
          <cell r="F670" t="str">
            <v>20001</v>
          </cell>
          <cell r="H670" t="str">
            <v>CR||13|B||||#|6||-|40|||</v>
          </cell>
          <cell r="J670">
            <v>120523</v>
          </cell>
          <cell r="L670" t="str">
            <v>10.486013</v>
          </cell>
          <cell r="M670" t="str">
            <v>-73.263191</v>
          </cell>
        </row>
        <row r="671">
          <cell r="C671">
            <v>45430</v>
          </cell>
          <cell r="D671" t="str">
            <v>TAT CLAUDIA</v>
          </cell>
          <cell r="E671" t="str">
            <v>S</v>
          </cell>
          <cell r="F671" t="str">
            <v>20001</v>
          </cell>
          <cell r="H671" t="str">
            <v>CR||9|||||#|16||-|13|||</v>
          </cell>
          <cell r="J671">
            <v>120523</v>
          </cell>
          <cell r="L671" t="str">
            <v>10.4752</v>
          </cell>
          <cell r="M671" t="str">
            <v>-73.2469</v>
          </cell>
        </row>
        <row r="672">
          <cell r="C672">
            <v>44394</v>
          </cell>
          <cell r="D672" t="str">
            <v xml:space="preserve">CM BETTY </v>
          </cell>
          <cell r="E672" t="str">
            <v>S</v>
          </cell>
          <cell r="F672" t="str">
            <v>20001</v>
          </cell>
          <cell r="H672" t="str">
            <v>CL||17|A||||#|34||-|45|||</v>
          </cell>
          <cell r="J672">
            <v>120523</v>
          </cell>
          <cell r="L672" t="str">
            <v>10.454032</v>
          </cell>
          <cell r="M672" t="str">
            <v>-73.273417</v>
          </cell>
        </row>
        <row r="673">
          <cell r="C673">
            <v>47105</v>
          </cell>
          <cell r="D673" t="str">
            <v>AMBULANTE CHIMICHAGUA CLARO</v>
          </cell>
          <cell r="E673" t="str">
            <v>S</v>
          </cell>
          <cell r="F673" t="str">
            <v>20175</v>
          </cell>
          <cell r="H673" t="str">
            <v>CL 5 # 4-2</v>
          </cell>
          <cell r="J673">
            <v>0</v>
          </cell>
          <cell r="L673" t="str">
            <v>9.256537</v>
          </cell>
          <cell r="M673" t="str">
            <v>-73.816344</v>
          </cell>
        </row>
        <row r="674">
          <cell r="C674">
            <v>47108</v>
          </cell>
          <cell r="D674" t="str">
            <v>AMBULANTE PAILITAS CLARO</v>
          </cell>
          <cell r="E674" t="str">
            <v>S</v>
          </cell>
          <cell r="F674" t="str">
            <v>20517</v>
          </cell>
          <cell r="H674" t="str">
            <v>CR 6 # 5-67</v>
          </cell>
          <cell r="J674">
            <v>0</v>
          </cell>
          <cell r="L674" t="str">
            <v>8.95657</v>
          </cell>
          <cell r="M674" t="str">
            <v>-73.6241</v>
          </cell>
        </row>
        <row r="675">
          <cell r="C675">
            <v>47111</v>
          </cell>
          <cell r="D675" t="str">
            <v>AMBULANTE PELAYA CLARO</v>
          </cell>
          <cell r="E675" t="str">
            <v>S</v>
          </cell>
          <cell r="F675" t="str">
            <v>20550</v>
          </cell>
          <cell r="H675" t="str">
            <v>CR 8 # 8-85</v>
          </cell>
          <cell r="J675">
            <v>0</v>
          </cell>
          <cell r="L675" t="str">
            <v>8.690177</v>
          </cell>
          <cell r="M675" t="str">
            <v>-73.663931</v>
          </cell>
        </row>
        <row r="676">
          <cell r="C676">
            <v>47115</v>
          </cell>
          <cell r="D676" t="str">
            <v>AMBULANTE SAN MARTIN TIGO</v>
          </cell>
          <cell r="E676" t="str">
            <v>S</v>
          </cell>
          <cell r="F676" t="str">
            <v>20770</v>
          </cell>
          <cell r="J676">
            <v>0</v>
          </cell>
          <cell r="L676" t="str">
            <v>8.00211</v>
          </cell>
          <cell r="M676" t="str">
            <v>-73.51164</v>
          </cell>
        </row>
        <row r="677">
          <cell r="C677">
            <v>47949</v>
          </cell>
          <cell r="D677" t="str">
            <v>CM EL 17 #1</v>
          </cell>
          <cell r="E677" t="str">
            <v>S</v>
          </cell>
          <cell r="F677" t="str">
            <v>20400</v>
          </cell>
          <cell r="H677" t="str">
            <v>DG 17 # 1-05 BARRIO 17 DE FEBRERO</v>
          </cell>
          <cell r="J677">
            <v>0</v>
          </cell>
          <cell r="L677" t="str">
            <v>9.573311</v>
          </cell>
          <cell r="M677" t="str">
            <v>-73.331764</v>
          </cell>
        </row>
        <row r="678">
          <cell r="C678">
            <v>44890</v>
          </cell>
          <cell r="D678" t="str">
            <v xml:space="preserve">CM ALFONSORES </v>
          </cell>
          <cell r="E678" t="str">
            <v>S</v>
          </cell>
          <cell r="F678" t="str">
            <v>20621</v>
          </cell>
          <cell r="H678" t="str">
            <v>CR||1|B|BIS|||#|4|D|-|68|||</v>
          </cell>
          <cell r="J678">
            <v>120523</v>
          </cell>
          <cell r="L678" t="str">
            <v>10.382733</v>
          </cell>
          <cell r="M678" t="str">
            <v>-73.179107</v>
          </cell>
        </row>
        <row r="679">
          <cell r="C679">
            <v>46197</v>
          </cell>
          <cell r="D679" t="str">
            <v>PDV ADOLESCENTE #2</v>
          </cell>
          <cell r="E679" t="str">
            <v>S</v>
          </cell>
          <cell r="F679" t="str">
            <v>20001</v>
          </cell>
          <cell r="H679" t="str">
            <v>CL||33|||||#|4|D|-|5|||</v>
          </cell>
          <cell r="J679">
            <v>260523</v>
          </cell>
          <cell r="L679" t="str">
            <v>10.45722</v>
          </cell>
          <cell r="M679" t="str">
            <v>-73.23179</v>
          </cell>
        </row>
        <row r="680">
          <cell r="C680">
            <v>47081</v>
          </cell>
          <cell r="D680" t="str">
            <v>AMBULANTE AGUACHICA CLARO</v>
          </cell>
          <cell r="E680" t="str">
            <v>S</v>
          </cell>
          <cell r="F680" t="str">
            <v>20011</v>
          </cell>
          <cell r="H680" t="str">
            <v>CL 5 # 17-39</v>
          </cell>
          <cell r="J680">
            <v>0</v>
          </cell>
          <cell r="L680" t="str">
            <v>8.310068</v>
          </cell>
          <cell r="M680" t="str">
            <v>-73.616822</v>
          </cell>
        </row>
        <row r="681">
          <cell r="C681">
            <v>47086</v>
          </cell>
          <cell r="D681" t="str">
            <v>AMBULANTE AGUSTINCODAZZI MOV</v>
          </cell>
          <cell r="E681" t="str">
            <v>S</v>
          </cell>
          <cell r="F681" t="str">
            <v>20013</v>
          </cell>
          <cell r="H681" t="str">
            <v>CL 17 # 15-111</v>
          </cell>
          <cell r="J681">
            <v>0</v>
          </cell>
          <cell r="L681" t="str">
            <v>10.03699</v>
          </cell>
          <cell r="M681" t="str">
            <v>-73.23657</v>
          </cell>
        </row>
        <row r="682">
          <cell r="C682">
            <v>47657</v>
          </cell>
          <cell r="D682" t="str">
            <v>SAN MARTIN COLOMBIA MAYOR</v>
          </cell>
          <cell r="E682" t="str">
            <v>S</v>
          </cell>
          <cell r="F682" t="str">
            <v>20770</v>
          </cell>
          <cell r="H682" t="str">
            <v>MOVIL</v>
          </cell>
          <cell r="J682">
            <v>0</v>
          </cell>
        </row>
        <row r="683">
          <cell r="C683">
            <v>40224</v>
          </cell>
          <cell r="D683" t="str">
            <v>CM INTERNET TATY</v>
          </cell>
          <cell r="E683" t="str">
            <v>S</v>
          </cell>
          <cell r="F683" t="str">
            <v>20228</v>
          </cell>
          <cell r="G683" t="str">
            <v xml:space="preserve">CM </v>
          </cell>
          <cell r="H683" t="str">
            <v>CL||3|||||#|4||-|1|||</v>
          </cell>
          <cell r="J683">
            <v>120523</v>
          </cell>
          <cell r="L683" t="str">
            <v>9.332113</v>
          </cell>
          <cell r="M683" t="str">
            <v>-73.481688</v>
          </cell>
        </row>
        <row r="684">
          <cell r="C684">
            <v>45321</v>
          </cell>
          <cell r="D684" t="str">
            <v xml:space="preserve">PDV LA 25 </v>
          </cell>
          <cell r="E684" t="str">
            <v>S</v>
          </cell>
          <cell r="F684" t="str">
            <v>20060</v>
          </cell>
          <cell r="H684" t="str">
            <v>CL||25|||||#|15||-|37|||</v>
          </cell>
          <cell r="J684">
            <v>120523</v>
          </cell>
          <cell r="L684" t="str">
            <v>9.9799</v>
          </cell>
          <cell r="M684" t="str">
            <v>-73.8868</v>
          </cell>
        </row>
        <row r="685">
          <cell r="C685">
            <v>45423</v>
          </cell>
          <cell r="D685" t="str">
            <v>CM DROG LA ECONOMIA PAILITAS</v>
          </cell>
          <cell r="E685" t="str">
            <v>S</v>
          </cell>
          <cell r="F685" t="str">
            <v>20517</v>
          </cell>
          <cell r="H685" t="str">
            <v>CR||7|||||#|6||-|53|||</v>
          </cell>
          <cell r="J685">
            <v>120523</v>
          </cell>
          <cell r="L685" t="str">
            <v>8.958205</v>
          </cell>
          <cell r="M685" t="str">
            <v>-73.623584</v>
          </cell>
        </row>
        <row r="686">
          <cell r="C686">
            <v>46376</v>
          </cell>
          <cell r="D686" t="str">
            <v>CM LA MONA OÑATE</v>
          </cell>
          <cell r="E686" t="str">
            <v>S</v>
          </cell>
          <cell r="F686" t="str">
            <v>20621</v>
          </cell>
          <cell r="H686" t="str">
            <v>CR||2|||||#|41||-|51|||</v>
          </cell>
          <cell r="J686">
            <v>260523</v>
          </cell>
          <cell r="L686" t="str">
            <v>10.38478</v>
          </cell>
          <cell r="M686" t="str">
            <v>-73.176073</v>
          </cell>
        </row>
        <row r="687">
          <cell r="C687">
            <v>8905</v>
          </cell>
          <cell r="D687" t="str">
            <v>CM VALENCIA DE JESUS</v>
          </cell>
          <cell r="E687" t="str">
            <v>S</v>
          </cell>
          <cell r="F687" t="str">
            <v>20001</v>
          </cell>
          <cell r="G687" t="str">
            <v xml:space="preserve">CM </v>
          </cell>
          <cell r="H687" t="str">
            <v>CL||5|||||#|3||-|4|||</v>
          </cell>
          <cell r="J687">
            <v>120523</v>
          </cell>
          <cell r="L687" t="str">
            <v>10.303223</v>
          </cell>
          <cell r="M687" t="str">
            <v>-73.395491</v>
          </cell>
        </row>
        <row r="688">
          <cell r="C688">
            <v>47099</v>
          </cell>
          <cell r="D688" t="str">
            <v>AMBULANTE EL PASO CLARO</v>
          </cell>
          <cell r="E688" t="str">
            <v>S</v>
          </cell>
          <cell r="F688" t="str">
            <v>20250</v>
          </cell>
          <cell r="J688">
            <v>0</v>
          </cell>
          <cell r="L688" t="str">
            <v>9.6589</v>
          </cell>
          <cell r="M688" t="str">
            <v>-73.7507</v>
          </cell>
        </row>
        <row r="689">
          <cell r="C689">
            <v>250354</v>
          </cell>
          <cell r="D689" t="str">
            <v>INVERSIONES QUINTERO VERGEL</v>
          </cell>
          <cell r="E689" t="str">
            <v>S</v>
          </cell>
          <cell r="F689" t="str">
            <v>20060</v>
          </cell>
          <cell r="H689" t="str">
            <v>CR 18 16-68</v>
          </cell>
          <cell r="J689">
            <v>0</v>
          </cell>
          <cell r="L689" t="str">
            <v>9.9723</v>
          </cell>
          <cell r="M689" t="str">
            <v>-73.8858</v>
          </cell>
        </row>
        <row r="690">
          <cell r="C690">
            <v>250479</v>
          </cell>
          <cell r="D690" t="str">
            <v>CM VARIEDADES MARY</v>
          </cell>
          <cell r="E690" t="str">
            <v>S</v>
          </cell>
          <cell r="F690" t="str">
            <v>20045</v>
          </cell>
          <cell r="H690" t="str">
            <v>CR 9A #6A-05 BARRIO LA CANDELARIA</v>
          </cell>
          <cell r="J690">
            <v>0</v>
          </cell>
          <cell r="L690" t="str">
            <v>9.70453</v>
          </cell>
          <cell r="M690" t="str">
            <v>-73.27680</v>
          </cell>
        </row>
        <row r="691">
          <cell r="C691">
            <v>46356</v>
          </cell>
          <cell r="D691" t="str">
            <v>CM EL SUERTE 2</v>
          </cell>
          <cell r="E691" t="str">
            <v>S</v>
          </cell>
          <cell r="F691" t="str">
            <v>20001</v>
          </cell>
          <cell r="H691" t="str">
            <v>CL||24|||||#|14|A|-|65|||</v>
          </cell>
          <cell r="J691">
            <v>0</v>
          </cell>
          <cell r="L691" t="str">
            <v>10.459193</v>
          </cell>
          <cell r="M691" t="str">
            <v>-73.249609</v>
          </cell>
        </row>
        <row r="692">
          <cell r="C692">
            <v>47065</v>
          </cell>
          <cell r="D692" t="str">
            <v>AMBULANTE CHIRIGUANA</v>
          </cell>
          <cell r="E692" t="str">
            <v>S</v>
          </cell>
          <cell r="F692" t="str">
            <v>20178</v>
          </cell>
          <cell r="H692" t="str">
            <v>CL||8|||||#|5|A|-|4|||</v>
          </cell>
          <cell r="J692">
            <v>0</v>
          </cell>
          <cell r="L692" t="str">
            <v>9.3641</v>
          </cell>
          <cell r="M692" t="str">
            <v>-73.6024</v>
          </cell>
        </row>
        <row r="693">
          <cell r="C693">
            <v>47114</v>
          </cell>
          <cell r="D693" t="str">
            <v>AMBULANTE SAN MARTIN CLARO</v>
          </cell>
          <cell r="E693" t="str">
            <v>S</v>
          </cell>
          <cell r="F693" t="str">
            <v>20770</v>
          </cell>
          <cell r="J693">
            <v>0</v>
          </cell>
          <cell r="L693" t="str">
            <v>8.00211</v>
          </cell>
          <cell r="M693" t="str">
            <v>-73.51164</v>
          </cell>
        </row>
        <row r="694">
          <cell r="C694">
            <v>47155</v>
          </cell>
          <cell r="D694" t="str">
            <v>CM ISA</v>
          </cell>
          <cell r="E694" t="str">
            <v>S</v>
          </cell>
          <cell r="F694" t="str">
            <v>20011</v>
          </cell>
          <cell r="H694" t="str">
            <v>MZ C CASA 19 BARRIO CIUDADELA DE LA PAZ</v>
          </cell>
          <cell r="J694">
            <v>0</v>
          </cell>
          <cell r="L694" t="str">
            <v>8.310594</v>
          </cell>
          <cell r="M694" t="str">
            <v>-73.636033</v>
          </cell>
        </row>
        <row r="695">
          <cell r="C695">
            <v>47622</v>
          </cell>
          <cell r="D695" t="str">
            <v xml:space="preserve">CM EXITO LAS FLORES </v>
          </cell>
          <cell r="E695" t="str">
            <v>S</v>
          </cell>
          <cell r="F695" t="str">
            <v>20001</v>
          </cell>
          <cell r="H695" t="str">
            <v>CL 16 CR 19 ESQUINA BARRIO LAS FLORES</v>
          </cell>
          <cell r="J695">
            <v>0</v>
          </cell>
          <cell r="L695" t="str">
            <v>10.46924542</v>
          </cell>
          <cell r="M695" t="str">
            <v>-73.2574537</v>
          </cell>
        </row>
        <row r="696">
          <cell r="C696">
            <v>47658</v>
          </cell>
          <cell r="D696" t="str">
            <v>CM FERRETERIA JRCONSTRUCCIONES</v>
          </cell>
          <cell r="E696" t="str">
            <v>S</v>
          </cell>
          <cell r="F696" t="str">
            <v>20001</v>
          </cell>
          <cell r="H696" t="str">
            <v>CR 19D # 5B-45 CALLEJAS DEL NORTE</v>
          </cell>
          <cell r="J696">
            <v>0</v>
          </cell>
          <cell r="L696" t="str">
            <v>10.484362</v>
          </cell>
          <cell r="M696" t="str">
            <v>-73.268775</v>
          </cell>
        </row>
        <row r="697">
          <cell r="C697">
            <v>44356</v>
          </cell>
          <cell r="D697" t="str">
            <v xml:space="preserve">CM AVENIDA VILLA DARIANA </v>
          </cell>
          <cell r="E697" t="str">
            <v>S</v>
          </cell>
          <cell r="F697" t="str">
            <v>20001</v>
          </cell>
          <cell r="H697" t="str">
            <v>OT||||||||||||||MZ 38 CASA 16 LOCAL 02</v>
          </cell>
          <cell r="J697">
            <v>120523</v>
          </cell>
          <cell r="L697" t="str">
            <v>10.443637</v>
          </cell>
          <cell r="M697" t="str">
            <v>-73.270239</v>
          </cell>
        </row>
        <row r="698">
          <cell r="C698">
            <v>42615</v>
          </cell>
          <cell r="D698" t="str">
            <v>CM GRANERO IMPERIAL</v>
          </cell>
          <cell r="E698" t="str">
            <v>S</v>
          </cell>
          <cell r="F698" t="str">
            <v>20001</v>
          </cell>
          <cell r="H698" t="str">
            <v>CL||30|A||||#|12|A|-|63|||</v>
          </cell>
          <cell r="J698">
            <v>120523</v>
          </cell>
          <cell r="L698" t="str">
            <v>10.4559</v>
          </cell>
          <cell r="M698" t="str">
            <v>-73.2441</v>
          </cell>
        </row>
        <row r="699">
          <cell r="C699">
            <v>47133</v>
          </cell>
          <cell r="D699" t="str">
            <v>AMBULANTE PUEBLO BELLO TIGO</v>
          </cell>
          <cell r="E699" t="str">
            <v>S</v>
          </cell>
          <cell r="F699" t="str">
            <v>20570</v>
          </cell>
          <cell r="H699" t="str">
            <v>CL 9 # 4-169</v>
          </cell>
          <cell r="J699">
            <v>0</v>
          </cell>
          <cell r="L699" t="str">
            <v>10.412562</v>
          </cell>
          <cell r="M699" t="str">
            <v>-73.590992</v>
          </cell>
        </row>
        <row r="700">
          <cell r="C700">
            <v>47600</v>
          </cell>
          <cell r="D700" t="str">
            <v>CM TIENDA EL PORTAL</v>
          </cell>
          <cell r="E700" t="str">
            <v>S</v>
          </cell>
          <cell r="F700" t="str">
            <v>20238</v>
          </cell>
          <cell r="H700" t="str">
            <v>SECTOR 1 MZ D-17 URB EL PORTAL DE COPEY</v>
          </cell>
          <cell r="J700">
            <v>0</v>
          </cell>
          <cell r="L700" t="str">
            <v>10.166243</v>
          </cell>
          <cell r="M700" t="str">
            <v>-73.963165</v>
          </cell>
        </row>
        <row r="701">
          <cell r="C701">
            <v>47635</v>
          </cell>
          <cell r="D701" t="str">
            <v>CODAZZI COLOMBIA MAYOR</v>
          </cell>
          <cell r="E701" t="str">
            <v>S</v>
          </cell>
          <cell r="F701" t="str">
            <v>20013</v>
          </cell>
          <cell r="H701" t="str">
            <v>MOVIL</v>
          </cell>
          <cell r="J701">
            <v>0</v>
          </cell>
        </row>
        <row r="702">
          <cell r="C702">
            <v>47650</v>
          </cell>
          <cell r="D702" t="str">
            <v>GONZALES COLOMBIA MAYOR</v>
          </cell>
          <cell r="E702" t="str">
            <v>S</v>
          </cell>
          <cell r="F702" t="str">
            <v>20310</v>
          </cell>
          <cell r="H702" t="str">
            <v>MOVIL</v>
          </cell>
          <cell r="J702">
            <v>0</v>
          </cell>
        </row>
        <row r="703">
          <cell r="C703">
            <v>47656</v>
          </cell>
          <cell r="D703" t="str">
            <v>SAN ALBERTO COLOMBIA MAYOR</v>
          </cell>
          <cell r="E703" t="str">
            <v>S</v>
          </cell>
          <cell r="F703" t="str">
            <v>20710</v>
          </cell>
          <cell r="H703" t="str">
            <v>MOVIL</v>
          </cell>
          <cell r="J703">
            <v>0</v>
          </cell>
        </row>
        <row r="704">
          <cell r="C704">
            <v>300294</v>
          </cell>
          <cell r="D704" t="str">
            <v>CM SHARITH</v>
          </cell>
          <cell r="E704" t="str">
            <v>S</v>
          </cell>
          <cell r="F704" t="str">
            <v>20011</v>
          </cell>
          <cell r="H704" t="str">
            <v>CR 33 # 9-75 BARRIO JOSE ANTONIO GALAN</v>
          </cell>
          <cell r="J704">
            <v>0</v>
          </cell>
          <cell r="L704" t="str">
            <v>8.30547803</v>
          </cell>
          <cell r="M704" t="str">
            <v>-73.60318194</v>
          </cell>
        </row>
        <row r="705">
          <cell r="C705">
            <v>300438</v>
          </cell>
          <cell r="D705" t="str">
            <v>CM HANMAR</v>
          </cell>
          <cell r="E705" t="str">
            <v>S</v>
          </cell>
          <cell r="F705" t="str">
            <v>20228</v>
          </cell>
          <cell r="H705" t="str">
            <v>CL 3 # 8-95 BARRIO SABANA GRANDE</v>
          </cell>
          <cell r="J705">
            <v>0</v>
          </cell>
          <cell r="L705" t="str">
            <v>9.199328</v>
          </cell>
          <cell r="M705" t="str">
            <v>-73.60780</v>
          </cell>
        </row>
        <row r="706">
          <cell r="C706">
            <v>300968</v>
          </cell>
          <cell r="D706" t="str">
            <v>CM DERIS</v>
          </cell>
          <cell r="E706" t="str">
            <v>S</v>
          </cell>
          <cell r="F706" t="str">
            <v>20032</v>
          </cell>
          <cell r="H706" t="str">
            <v>CM 13 # 1-92 BARRIO PALMIRA</v>
          </cell>
          <cell r="J706">
            <v>0</v>
          </cell>
          <cell r="L706" t="str">
            <v>9.496762</v>
          </cell>
          <cell r="M706" t="str">
            <v>-73.972510</v>
          </cell>
        </row>
        <row r="707">
          <cell r="C707">
            <v>301151</v>
          </cell>
          <cell r="D707" t="str">
            <v>CM PROVISIONES ANDREA</v>
          </cell>
          <cell r="E707" t="str">
            <v>S</v>
          </cell>
          <cell r="F707" t="str">
            <v>20001</v>
          </cell>
          <cell r="H707" t="str">
            <v>CR 4 #13A-4 BRR LA GUAJIRA</v>
          </cell>
          <cell r="J707">
            <v>0</v>
          </cell>
          <cell r="L707" t="str">
            <v>10.481667</v>
          </cell>
          <cell r="M707" t="str">
            <v>-73.245102</v>
          </cell>
        </row>
        <row r="708">
          <cell r="C708">
            <v>300210</v>
          </cell>
          <cell r="D708" t="str">
            <v>CM CRR CULEBRITA</v>
          </cell>
          <cell r="E708" t="str">
            <v>S</v>
          </cell>
          <cell r="F708" t="str">
            <v>20310</v>
          </cell>
          <cell r="H708" t="str">
            <v>CRR CULEBRITA KDX 19</v>
          </cell>
          <cell r="J708">
            <v>0</v>
          </cell>
          <cell r="L708" t="str">
            <v>8.446715</v>
          </cell>
          <cell r="M708" t="str">
            <v>-73.374625</v>
          </cell>
        </row>
        <row r="709">
          <cell r="C709">
            <v>301547</v>
          </cell>
          <cell r="D709" t="str">
            <v>CM NANCY</v>
          </cell>
          <cell r="E709" t="str">
            <v>S</v>
          </cell>
          <cell r="F709" t="str">
            <v>20178</v>
          </cell>
          <cell r="H709" t="str">
            <v>CL 5 # 3-157 BARRIO SAN ANTONIO</v>
          </cell>
          <cell r="J709">
            <v>0</v>
          </cell>
          <cell r="L709" t="str">
            <v>9.362433</v>
          </cell>
          <cell r="M709" t="str">
            <v>-73.604001</v>
          </cell>
        </row>
        <row r="710">
          <cell r="C710">
            <v>302278</v>
          </cell>
          <cell r="D710" t="str">
            <v>CM VARIEDADES NEYDAN</v>
          </cell>
          <cell r="E710" t="str">
            <v>S</v>
          </cell>
          <cell r="F710" t="str">
            <v>20001</v>
          </cell>
          <cell r="H710" t="str">
            <v>CR 13 # 39-26 BARRIO 12 DE OCTUBRE</v>
          </cell>
          <cell r="J710">
            <v>0</v>
          </cell>
          <cell r="L710" t="str">
            <v>10.44985718</v>
          </cell>
          <cell r="M710" t="str">
            <v>-73.24382649</v>
          </cell>
        </row>
        <row r="711">
          <cell r="C711">
            <v>302279</v>
          </cell>
          <cell r="D711" t="str">
            <v>CM LAS DELICIAS</v>
          </cell>
          <cell r="E711" t="str">
            <v>S</v>
          </cell>
          <cell r="F711" t="str">
            <v>20032</v>
          </cell>
          <cell r="H711" t="str">
            <v>CR 5A CL 1B-26 BARRIO SAN JORGE</v>
          </cell>
          <cell r="J711">
            <v>0</v>
          </cell>
          <cell r="L711" t="str">
            <v>9.50184</v>
          </cell>
          <cell r="M711" t="str">
            <v>-73.97774</v>
          </cell>
        </row>
        <row r="712">
          <cell r="C712">
            <v>302221</v>
          </cell>
          <cell r="D712" t="str">
            <v>CM EL CRUCE</v>
          </cell>
          <cell r="E712" t="str">
            <v>S</v>
          </cell>
          <cell r="F712" t="str">
            <v>20060</v>
          </cell>
          <cell r="H712" t="str">
            <v>CR 18 # 17-29 BARRIO EL RECREO</v>
          </cell>
          <cell r="J712">
            <v>0</v>
          </cell>
          <cell r="L712" t="str">
            <v>9.9727</v>
          </cell>
          <cell r="M712" t="str">
            <v>-73.8861</v>
          </cell>
        </row>
        <row r="713">
          <cell r="C713">
            <v>302451</v>
          </cell>
          <cell r="D713" t="str">
            <v>CM EL PERDON 2.0</v>
          </cell>
          <cell r="E713" t="str">
            <v>S</v>
          </cell>
          <cell r="F713" t="str">
            <v>20011</v>
          </cell>
          <cell r="H713" t="str">
            <v>CR 15B # 12-74 BARRIO ROMERO DIAZ</v>
          </cell>
          <cell r="J713">
            <v>0</v>
          </cell>
          <cell r="L713" t="str">
            <v>8.30111176</v>
          </cell>
          <cell r="M713" t="str">
            <v>-73.61722459</v>
          </cell>
        </row>
        <row r="714">
          <cell r="C714">
            <v>300789</v>
          </cell>
          <cell r="D714" t="str">
            <v>CM EL CABLE</v>
          </cell>
          <cell r="E714" t="str">
            <v>S</v>
          </cell>
          <cell r="F714" t="str">
            <v>20295</v>
          </cell>
          <cell r="H714" t="str">
            <v>CR 7 # 1-83 BARRIO EL CABLE</v>
          </cell>
          <cell r="J714">
            <v>0</v>
          </cell>
          <cell r="L714" t="str">
            <v>8.31285</v>
          </cell>
          <cell r="M714" t="str">
            <v>-73.74616</v>
          </cell>
        </row>
        <row r="715">
          <cell r="C715">
            <v>300107</v>
          </cell>
          <cell r="D715" t="str">
            <v>CM BOQUERON</v>
          </cell>
          <cell r="E715" t="str">
            <v>S</v>
          </cell>
          <cell r="F715" t="str">
            <v>20400</v>
          </cell>
          <cell r="H715" t="str">
            <v>CR 1 CL 1-21 BOQUERON</v>
          </cell>
          <cell r="J715">
            <v>0</v>
          </cell>
          <cell r="L715" t="str">
            <v>9.63073833</v>
          </cell>
          <cell r="M715" t="str">
            <v>-73.42310233</v>
          </cell>
        </row>
        <row r="716">
          <cell r="C716">
            <v>300892</v>
          </cell>
          <cell r="D716" t="str">
            <v>CM TIENDA ROMERO DIAZ</v>
          </cell>
          <cell r="E716" t="str">
            <v>S</v>
          </cell>
          <cell r="F716" t="str">
            <v>20011</v>
          </cell>
          <cell r="H716" t="str">
            <v>CL 16 # 19-8 BARRIO ROMERO DIAZ</v>
          </cell>
          <cell r="J716">
            <v>0</v>
          </cell>
          <cell r="L716" t="str">
            <v>8.29901844</v>
          </cell>
          <cell r="M716" t="str">
            <v>-73.61411064</v>
          </cell>
        </row>
        <row r="717">
          <cell r="C717">
            <v>301097</v>
          </cell>
          <cell r="D717" t="str">
            <v>CM JUNCAL 2.0</v>
          </cell>
          <cell r="E717" t="str">
            <v>S</v>
          </cell>
          <cell r="F717" t="str">
            <v>20011</v>
          </cell>
          <cell r="H717" t="str">
            <v>KDX  47-1 JUNCAL</v>
          </cell>
          <cell r="J717">
            <v>0</v>
          </cell>
          <cell r="L717" t="str">
            <v>8.19824163</v>
          </cell>
          <cell r="M717" t="str">
            <v>-73.6106931</v>
          </cell>
        </row>
        <row r="718">
          <cell r="C718">
            <v>301249</v>
          </cell>
          <cell r="D718" t="str">
            <v xml:space="preserve">CM MINIMARKET </v>
          </cell>
          <cell r="E718" t="str">
            <v>S</v>
          </cell>
          <cell r="F718" t="str">
            <v>20001</v>
          </cell>
          <cell r="H718" t="str">
            <v>CL 5C #19E-67 BARRIO ESPERANZA NORTE</v>
          </cell>
          <cell r="J718">
            <v>0</v>
          </cell>
          <cell r="L718" t="str">
            <v>10.48311547</v>
          </cell>
          <cell r="M718" t="str">
            <v>-73.27001026</v>
          </cell>
        </row>
        <row r="719">
          <cell r="C719">
            <v>301253</v>
          </cell>
          <cell r="D719" t="str">
            <v xml:space="preserve">CM SUSA RH </v>
          </cell>
          <cell r="E719" t="str">
            <v>S</v>
          </cell>
          <cell r="F719" t="str">
            <v>20178</v>
          </cell>
          <cell r="H719" t="str">
            <v>CL 6 KR 7-61 BARRIO RINCON HONDO</v>
          </cell>
          <cell r="J719">
            <v>0</v>
          </cell>
          <cell r="L719" t="str">
            <v>9.39475248</v>
          </cell>
          <cell r="M719" t="str">
            <v>-73.4919605</v>
          </cell>
        </row>
        <row r="720">
          <cell r="C720">
            <v>302143</v>
          </cell>
          <cell r="D720" t="str">
            <v>CM CIBER VARGAS 2</v>
          </cell>
          <cell r="E720" t="str">
            <v>S</v>
          </cell>
          <cell r="F720" t="str">
            <v>20228</v>
          </cell>
          <cell r="H720" t="str">
            <v>CL 11 # 6-45 BARRIO SAN VICENTE</v>
          </cell>
          <cell r="J720">
            <v>0</v>
          </cell>
          <cell r="L720" t="str">
            <v>9.200508</v>
          </cell>
          <cell r="M720" t="str">
            <v>-73.533635</v>
          </cell>
        </row>
        <row r="721">
          <cell r="C721">
            <v>302615</v>
          </cell>
          <cell r="D721" t="str">
            <v>CM LA MONA</v>
          </cell>
          <cell r="E721" t="str">
            <v>S</v>
          </cell>
          <cell r="F721" t="str">
            <v>20060</v>
          </cell>
          <cell r="H721" t="str">
            <v>CR 21 CL 21-50 BARRIO EL CARMEN</v>
          </cell>
          <cell r="J721">
            <v>0</v>
          </cell>
          <cell r="L721" t="str">
            <v>9.9739</v>
          </cell>
          <cell r="M721" t="str">
            <v>-73.8915</v>
          </cell>
        </row>
        <row r="722">
          <cell r="C722">
            <v>7096</v>
          </cell>
          <cell r="D722" t="str">
            <v>AMBULANTE MOVISTAR LA GLORIA</v>
          </cell>
          <cell r="E722" t="str">
            <v>S</v>
          </cell>
          <cell r="F722" t="str">
            <v>20383</v>
          </cell>
          <cell r="G722" t="str">
            <v xml:space="preserve">AMB </v>
          </cell>
          <cell r="H722" t="str">
            <v>CR||1|A||||#|1|A|-|9|||</v>
          </cell>
          <cell r="J722">
            <v>120523</v>
          </cell>
          <cell r="L722" t="str">
            <v>8.617435</v>
          </cell>
          <cell r="M722" t="str">
            <v>-73.803569</v>
          </cell>
        </row>
        <row r="723">
          <cell r="C723">
            <v>7100</v>
          </cell>
          <cell r="D723" t="str">
            <v>AMBULANTE MOVISTAR ASTREA</v>
          </cell>
          <cell r="E723" t="str">
            <v>S</v>
          </cell>
          <cell r="F723" t="str">
            <v>20032</v>
          </cell>
          <cell r="G723" t="str">
            <v xml:space="preserve">AMB </v>
          </cell>
          <cell r="H723" t="str">
            <v>CL||7|||||#|3||-|76|||</v>
          </cell>
          <cell r="J723">
            <v>120523</v>
          </cell>
          <cell r="L723" t="str">
            <v>9.4979</v>
          </cell>
          <cell r="M723" t="str">
            <v>-73.9779</v>
          </cell>
        </row>
        <row r="724">
          <cell r="C724">
            <v>7225</v>
          </cell>
          <cell r="D724" t="str">
            <v>CM DUBAN</v>
          </cell>
          <cell r="E724" t="str">
            <v>S</v>
          </cell>
          <cell r="F724" t="str">
            <v>20060</v>
          </cell>
          <cell r="G724" t="str">
            <v>CM</v>
          </cell>
          <cell r="H724" t="str">
            <v>CL||27|||||#|22||-|44|||</v>
          </cell>
          <cell r="J724">
            <v>0</v>
          </cell>
        </row>
        <row r="725">
          <cell r="C725">
            <v>7229</v>
          </cell>
          <cell r="D725" t="str">
            <v>PDV LOS NIETOS</v>
          </cell>
          <cell r="E725" t="str">
            <v>S</v>
          </cell>
          <cell r="F725" t="str">
            <v>20013</v>
          </cell>
          <cell r="G725" t="str">
            <v xml:space="preserve">PDV </v>
          </cell>
          <cell r="H725" t="str">
            <v>CL||12|||||#|20||-|6|||</v>
          </cell>
          <cell r="J725">
            <v>120523</v>
          </cell>
          <cell r="L725" t="str">
            <v>10.03939</v>
          </cell>
          <cell r="M725" t="str">
            <v>-73.23747</v>
          </cell>
        </row>
        <row r="726">
          <cell r="C726">
            <v>7193</v>
          </cell>
          <cell r="D726" t="str">
            <v>PDV PUEBLO BELLO</v>
          </cell>
          <cell r="E726" t="str">
            <v>S</v>
          </cell>
          <cell r="F726" t="str">
            <v>20570</v>
          </cell>
          <cell r="G726" t="str">
            <v xml:space="preserve">PDV </v>
          </cell>
          <cell r="H726" t="str">
            <v>CR||4|||||#|8||-|36|||</v>
          </cell>
          <cell r="J726">
            <v>120523</v>
          </cell>
          <cell r="L726" t="str">
            <v>10.4125</v>
          </cell>
          <cell r="M726" t="str">
            <v>-73.5933</v>
          </cell>
        </row>
        <row r="727">
          <cell r="C727">
            <v>7012</v>
          </cell>
          <cell r="D727" t="str">
            <v>AMBULANTE MOVISTAR AGUACHICA</v>
          </cell>
          <cell r="E727" t="str">
            <v>S</v>
          </cell>
          <cell r="F727" t="str">
            <v>20011</v>
          </cell>
          <cell r="G727" t="str">
            <v xml:space="preserve">AMB </v>
          </cell>
          <cell r="H727" t="str">
            <v>CL||5|||||#|17||-|39|||</v>
          </cell>
          <cell r="J727">
            <v>0</v>
          </cell>
          <cell r="L727" t="str">
            <v>8.310068</v>
          </cell>
          <cell r="M727" t="str">
            <v>-73.616822</v>
          </cell>
        </row>
        <row r="728">
          <cell r="C728">
            <v>7013</v>
          </cell>
          <cell r="D728" t="str">
            <v>AMBULANTE CLARO AGUACHICA</v>
          </cell>
          <cell r="E728" t="str">
            <v>S</v>
          </cell>
          <cell r="F728" t="str">
            <v>20011</v>
          </cell>
          <cell r="G728" t="str">
            <v xml:space="preserve">AMB </v>
          </cell>
          <cell r="H728" t="str">
            <v>CL||5|||||#|17||-|39|||</v>
          </cell>
          <cell r="J728">
            <v>0</v>
          </cell>
          <cell r="L728" t="str">
            <v>8.310068</v>
          </cell>
          <cell r="M728" t="str">
            <v>-73.616822</v>
          </cell>
        </row>
        <row r="729">
          <cell r="C729">
            <v>7020</v>
          </cell>
          <cell r="D729" t="str">
            <v>AMBULANTE MOVISTAR SAN ALBERTO</v>
          </cell>
          <cell r="E729" t="str">
            <v>S</v>
          </cell>
          <cell r="F729" t="str">
            <v>20710</v>
          </cell>
          <cell r="G729" t="str">
            <v xml:space="preserve">AMB </v>
          </cell>
          <cell r="H729" t="str">
            <v>CR||3|||||#|4||-|23|||</v>
          </cell>
          <cell r="J729">
            <v>0</v>
          </cell>
          <cell r="L729" t="str">
            <v>7.76126</v>
          </cell>
          <cell r="M729" t="str">
            <v>-73.391668</v>
          </cell>
        </row>
        <row r="730">
          <cell r="C730">
            <v>7022</v>
          </cell>
          <cell r="D730" t="str">
            <v>OFICINA PRINCIPAL SAN ALBERTO</v>
          </cell>
          <cell r="E730" t="str">
            <v>S</v>
          </cell>
          <cell r="F730" t="str">
            <v>20710</v>
          </cell>
          <cell r="G730" t="str">
            <v xml:space="preserve">CDA </v>
          </cell>
          <cell r="H730" t="str">
            <v>CR||3|||||#|4||-|23|||</v>
          </cell>
          <cell r="J730">
            <v>120523</v>
          </cell>
          <cell r="L730" t="str">
            <v>7.76126</v>
          </cell>
          <cell r="M730" t="str">
            <v>-73.391668</v>
          </cell>
        </row>
        <row r="731">
          <cell r="C731">
            <v>7030</v>
          </cell>
          <cell r="D731" t="str">
            <v>OFICINA PRINCIPAL BOSCONIA</v>
          </cell>
          <cell r="E731" t="str">
            <v>S</v>
          </cell>
          <cell r="F731" t="str">
            <v>20060</v>
          </cell>
          <cell r="G731" t="str">
            <v xml:space="preserve">CDA </v>
          </cell>
          <cell r="H731" t="str">
            <v>CR||18|||||#|16||-|68|||</v>
          </cell>
          <cell r="J731">
            <v>120523</v>
          </cell>
          <cell r="L731" t="str">
            <v>9.9723</v>
          </cell>
          <cell r="M731" t="str">
            <v>-73.8858</v>
          </cell>
        </row>
        <row r="732">
          <cell r="C732">
            <v>7048</v>
          </cell>
          <cell r="D732" t="str">
            <v>AMBULANTE MOVISTAR PAILITAS</v>
          </cell>
          <cell r="E732" t="str">
            <v>S</v>
          </cell>
          <cell r="F732" t="str">
            <v>20517</v>
          </cell>
          <cell r="G732" t="str">
            <v xml:space="preserve">AMB </v>
          </cell>
          <cell r="H732" t="str">
            <v>CR||6|||||#|5||-|67|||</v>
          </cell>
          <cell r="J732">
            <v>120523</v>
          </cell>
          <cell r="L732" t="str">
            <v>8.95657</v>
          </cell>
          <cell r="M732" t="str">
            <v>-73.6241</v>
          </cell>
        </row>
        <row r="733">
          <cell r="C733">
            <v>7052</v>
          </cell>
          <cell r="D733" t="str">
            <v>AMBULANTE MOVISTAR TAMALAMEQUE</v>
          </cell>
          <cell r="E733" t="str">
            <v>S</v>
          </cell>
          <cell r="F733" t="str">
            <v>20787</v>
          </cell>
          <cell r="G733" t="str">
            <v xml:space="preserve">AMB </v>
          </cell>
          <cell r="H733" t="str">
            <v>CL||5|||||#|5||-|93|||</v>
          </cell>
          <cell r="J733">
            <v>120523</v>
          </cell>
          <cell r="L733" t="str">
            <v>8.859786</v>
          </cell>
          <cell r="M733" t="str">
            <v>-73.81008</v>
          </cell>
        </row>
        <row r="734">
          <cell r="C734">
            <v>7062</v>
          </cell>
          <cell r="D734" t="str">
            <v>OFICINA PRINCIPAL PUEBLO BELLO</v>
          </cell>
          <cell r="E734" t="str">
            <v>S</v>
          </cell>
          <cell r="F734" t="str">
            <v>20570</v>
          </cell>
          <cell r="G734" t="str">
            <v xml:space="preserve">CDA </v>
          </cell>
          <cell r="H734" t="str">
            <v>CL||9|||||#|4||-|169|||</v>
          </cell>
          <cell r="J734">
            <v>120523</v>
          </cell>
          <cell r="L734" t="str">
            <v>10.412562</v>
          </cell>
          <cell r="M734" t="str">
            <v>-73.590992</v>
          </cell>
        </row>
        <row r="735">
          <cell r="C735">
            <v>7071</v>
          </cell>
          <cell r="D735" t="str">
            <v>AMBULANTE TIGO LA JAGUA</v>
          </cell>
          <cell r="E735" t="str">
            <v>S</v>
          </cell>
          <cell r="F735" t="str">
            <v>20400</v>
          </cell>
          <cell r="G735" t="str">
            <v>AMB</v>
          </cell>
          <cell r="H735" t="str">
            <v>DG||1|||||#|5||-|31|||</v>
          </cell>
          <cell r="J735">
            <v>0</v>
          </cell>
        </row>
        <row r="736">
          <cell r="C736">
            <v>7110</v>
          </cell>
          <cell r="D736" t="str">
            <v>OFICINA PRINCIPAL VENTA PORC</v>
          </cell>
          <cell r="E736" t="str">
            <v>S</v>
          </cell>
          <cell r="F736" t="str">
            <v>20001</v>
          </cell>
          <cell r="G736" t="str">
            <v>PDV</v>
          </cell>
          <cell r="H736" t="str">
            <v>CL||16|A||||#|9||-|63|||</v>
          </cell>
          <cell r="J736">
            <v>0</v>
          </cell>
        </row>
        <row r="737">
          <cell r="C737">
            <v>8179</v>
          </cell>
          <cell r="D737" t="str">
            <v>CM PERIJA</v>
          </cell>
          <cell r="E737" t="str">
            <v>S</v>
          </cell>
          <cell r="F737" t="str">
            <v>20013</v>
          </cell>
          <cell r="G737" t="str">
            <v>CM</v>
          </cell>
          <cell r="H737" t="str">
            <v>KR 16 N 12-17</v>
          </cell>
          <cell r="J737">
            <v>0</v>
          </cell>
        </row>
        <row r="738">
          <cell r="C738">
            <v>8190</v>
          </cell>
          <cell r="D738" t="str">
            <v xml:space="preserve">5 DE NOVIEMBRE 2 </v>
          </cell>
          <cell r="E738" t="str">
            <v>S</v>
          </cell>
          <cell r="F738" t="str">
            <v>20001</v>
          </cell>
          <cell r="G738" t="str">
            <v>CM</v>
          </cell>
          <cell r="H738" t="str">
            <v>CR 6A 23-57 APTO 02 SAN JORGE</v>
          </cell>
          <cell r="J738">
            <v>0</v>
          </cell>
        </row>
        <row r="739">
          <cell r="C739">
            <v>8456</v>
          </cell>
          <cell r="D739" t="str">
            <v>CM ALFONSO AVILA</v>
          </cell>
          <cell r="E739" t="str">
            <v>S</v>
          </cell>
          <cell r="F739" t="str">
            <v>20013</v>
          </cell>
          <cell r="G739" t="str">
            <v>CM</v>
          </cell>
          <cell r="H739" t="str">
            <v>CR 31  18A - 18</v>
          </cell>
          <cell r="J739">
            <v>0</v>
          </cell>
        </row>
        <row r="740">
          <cell r="C740">
            <v>8458</v>
          </cell>
          <cell r="D740" t="str">
            <v>CM SAN JOSE</v>
          </cell>
          <cell r="E740" t="str">
            <v>S</v>
          </cell>
          <cell r="F740" t="str">
            <v>20013</v>
          </cell>
          <cell r="G740" t="str">
            <v>CM</v>
          </cell>
          <cell r="H740" t="str">
            <v>CL 18 27 - 04</v>
          </cell>
          <cell r="J740">
            <v>0</v>
          </cell>
        </row>
        <row r="741">
          <cell r="C741">
            <v>9242</v>
          </cell>
          <cell r="D741" t="str">
            <v>PDV LA ROCA</v>
          </cell>
          <cell r="E741" t="str">
            <v>S</v>
          </cell>
          <cell r="F741" t="str">
            <v>20001</v>
          </cell>
          <cell r="G741" t="str">
            <v xml:space="preserve">PDV </v>
          </cell>
          <cell r="H741" t="str">
            <v>CR||48|||||#|4||-|31|||</v>
          </cell>
          <cell r="J741">
            <v>120523</v>
          </cell>
          <cell r="L741" t="str">
            <v>10.484023</v>
          </cell>
          <cell r="M741" t="str">
            <v>-73.282725</v>
          </cell>
        </row>
        <row r="742">
          <cell r="C742">
            <v>8368</v>
          </cell>
          <cell r="D742" t="str">
            <v>CM ARBOLEDA DE ALVEQUIN</v>
          </cell>
          <cell r="E742" t="str">
            <v>S</v>
          </cell>
          <cell r="F742" t="str">
            <v>20011</v>
          </cell>
          <cell r="G742" t="str">
            <v>CM</v>
          </cell>
          <cell r="H742" t="str">
            <v>MZ F CA 13</v>
          </cell>
          <cell r="J742">
            <v>0</v>
          </cell>
        </row>
        <row r="743">
          <cell r="C743">
            <v>8448</v>
          </cell>
          <cell r="D743" t="str">
            <v>CM ALFONSO LOPEZ</v>
          </cell>
          <cell r="E743" t="str">
            <v>S</v>
          </cell>
          <cell r="F743" t="str">
            <v>20001</v>
          </cell>
          <cell r="G743" t="str">
            <v>CM</v>
          </cell>
          <cell r="H743" t="str">
            <v>CL 13C   16  - 111</v>
          </cell>
          <cell r="J743">
            <v>0</v>
          </cell>
        </row>
        <row r="744">
          <cell r="C744">
            <v>8449</v>
          </cell>
          <cell r="D744" t="str">
            <v xml:space="preserve">CM LA POPA </v>
          </cell>
          <cell r="E744" t="str">
            <v>S</v>
          </cell>
          <cell r="F744" t="str">
            <v>20001</v>
          </cell>
          <cell r="G744" t="str">
            <v>CM</v>
          </cell>
          <cell r="H744" t="str">
            <v>CL 16  20 - 04</v>
          </cell>
          <cell r="J744">
            <v>0</v>
          </cell>
        </row>
        <row r="745">
          <cell r="C745">
            <v>7213</v>
          </cell>
          <cell r="D745" t="str">
            <v>CM DROGUERIA SERVICD</v>
          </cell>
          <cell r="E745" t="str">
            <v>S</v>
          </cell>
          <cell r="F745" t="str">
            <v>20770</v>
          </cell>
          <cell r="G745" t="str">
            <v xml:space="preserve">CM </v>
          </cell>
          <cell r="H745" t="str">
            <v>CR||7|||||#|3||-|73|||</v>
          </cell>
          <cell r="J745">
            <v>120523</v>
          </cell>
          <cell r="L745" t="str">
            <v>8.002213</v>
          </cell>
          <cell r="M745" t="str">
            <v>-73.51302166</v>
          </cell>
        </row>
        <row r="746">
          <cell r="C746">
            <v>8444</v>
          </cell>
          <cell r="D746" t="str">
            <v>CM SURTISERVIR</v>
          </cell>
          <cell r="E746" t="str">
            <v>S</v>
          </cell>
          <cell r="F746" t="str">
            <v>20011</v>
          </cell>
          <cell r="G746" t="str">
            <v>CM</v>
          </cell>
          <cell r="H746" t="str">
            <v>CR 31  4 - 25</v>
          </cell>
          <cell r="J746">
            <v>0</v>
          </cell>
        </row>
        <row r="747">
          <cell r="C747">
            <v>8138</v>
          </cell>
          <cell r="D747" t="str">
            <v>CM VALLEPAN</v>
          </cell>
          <cell r="E747" t="str">
            <v>S</v>
          </cell>
          <cell r="F747" t="str">
            <v>20001</v>
          </cell>
          <cell r="G747" t="str">
            <v xml:space="preserve">CM </v>
          </cell>
          <cell r="H747" t="str">
            <v>DG||21|||||#|27||-|87|||</v>
          </cell>
          <cell r="J747">
            <v>120523</v>
          </cell>
          <cell r="L747" t="str">
            <v>10.459081</v>
          </cell>
          <cell r="M747" t="str">
            <v>-73.255433</v>
          </cell>
        </row>
        <row r="748">
          <cell r="C748">
            <v>8144</v>
          </cell>
          <cell r="D748" t="str">
            <v>PDV SIMON BOLIVAR</v>
          </cell>
          <cell r="E748" t="str">
            <v>S</v>
          </cell>
          <cell r="F748" t="str">
            <v>20001</v>
          </cell>
          <cell r="G748" t="str">
            <v xml:space="preserve">PDV </v>
          </cell>
          <cell r="H748" t="str">
            <v>DG||21|||||#|21||-|4|||</v>
          </cell>
          <cell r="J748">
            <v>120523</v>
          </cell>
          <cell r="L748" t="str">
            <v>10.4504</v>
          </cell>
          <cell r="M748" t="str">
            <v>-73.2453</v>
          </cell>
        </row>
        <row r="749">
          <cell r="C749">
            <v>8176</v>
          </cell>
          <cell r="D749" t="str">
            <v>CM LA 44</v>
          </cell>
          <cell r="E749" t="str">
            <v>S</v>
          </cell>
          <cell r="F749" t="str">
            <v>20001</v>
          </cell>
          <cell r="G749" t="str">
            <v>CM</v>
          </cell>
          <cell r="H749" t="str">
            <v>CLL 44 N 21-10 VILLA LEONOR</v>
          </cell>
          <cell r="J749">
            <v>0</v>
          </cell>
        </row>
        <row r="750">
          <cell r="C750">
            <v>7211</v>
          </cell>
          <cell r="D750" t="str">
            <v>CM GARUPAL</v>
          </cell>
          <cell r="E750" t="str">
            <v>S</v>
          </cell>
          <cell r="F750" t="str">
            <v>20001</v>
          </cell>
          <cell r="G750" t="str">
            <v>CM</v>
          </cell>
          <cell r="H750" t="str">
            <v>CL||13|B||||#|19|E|-|55|||</v>
          </cell>
          <cell r="J750">
            <v>0</v>
          </cell>
        </row>
        <row r="751">
          <cell r="C751">
            <v>7151</v>
          </cell>
          <cell r="D751" t="str">
            <v>OFICINA SAN ROQUE</v>
          </cell>
          <cell r="E751" t="str">
            <v>S</v>
          </cell>
          <cell r="F751" t="str">
            <v>20011</v>
          </cell>
          <cell r="G751" t="str">
            <v xml:space="preserve">CDA </v>
          </cell>
          <cell r="H751" t="str">
            <v>CL||5|||||#|10||-|56|||</v>
          </cell>
          <cell r="J751">
            <v>120523</v>
          </cell>
          <cell r="L751" t="str">
            <v>8.309743</v>
          </cell>
          <cell r="M751" t="str">
            <v>-73.623722</v>
          </cell>
        </row>
        <row r="752">
          <cell r="C752">
            <v>8101</v>
          </cell>
          <cell r="D752" t="str">
            <v>CM EMANUEL</v>
          </cell>
          <cell r="E752" t="str">
            <v>S</v>
          </cell>
          <cell r="F752" t="str">
            <v>20001</v>
          </cell>
          <cell r="G752" t="str">
            <v>CM</v>
          </cell>
          <cell r="H752" t="str">
            <v>MZ A CASA N 8B EMANUEL</v>
          </cell>
          <cell r="J752">
            <v>0</v>
          </cell>
        </row>
        <row r="753">
          <cell r="C753">
            <v>8114</v>
          </cell>
          <cell r="D753" t="str">
            <v>CM LA MEJOR ESQUINA</v>
          </cell>
          <cell r="E753" t="str">
            <v>S</v>
          </cell>
          <cell r="F753" t="str">
            <v>20750</v>
          </cell>
          <cell r="G753" t="str">
            <v>CM</v>
          </cell>
          <cell r="H753" t="str">
            <v>KR 1 N 2-52 MEDIA LUNA</v>
          </cell>
          <cell r="J753">
            <v>0</v>
          </cell>
        </row>
        <row r="754">
          <cell r="C754">
            <v>8177</v>
          </cell>
          <cell r="D754" t="str">
            <v>CM RAFAEL ESCALONA</v>
          </cell>
          <cell r="E754" t="str">
            <v>S</v>
          </cell>
          <cell r="F754" t="str">
            <v>20001</v>
          </cell>
          <cell r="G754" t="str">
            <v>CM</v>
          </cell>
          <cell r="H754" t="str">
            <v>SECTOR 1 MZ 5-28 RAFAEL ESCALONA</v>
          </cell>
          <cell r="J754">
            <v>0</v>
          </cell>
        </row>
        <row r="755">
          <cell r="C755">
            <v>8178</v>
          </cell>
          <cell r="D755" t="str">
            <v>CM EL MERCADO</v>
          </cell>
          <cell r="E755" t="str">
            <v>S</v>
          </cell>
          <cell r="F755" t="str">
            <v>20013</v>
          </cell>
          <cell r="G755" t="str">
            <v>CM</v>
          </cell>
          <cell r="H755" t="str">
            <v>CL 28 15A-83</v>
          </cell>
          <cell r="J755">
            <v>0</v>
          </cell>
        </row>
        <row r="756">
          <cell r="C756">
            <v>8226</v>
          </cell>
          <cell r="D756" t="str">
            <v>CM 7 DE JULIO</v>
          </cell>
          <cell r="E756" t="str">
            <v>S</v>
          </cell>
          <cell r="F756" t="str">
            <v>20013</v>
          </cell>
          <cell r="G756" t="str">
            <v>CM</v>
          </cell>
          <cell r="H756" t="str">
            <v>CRA 9A 12-22 CASA 7 DE JULIO</v>
          </cell>
          <cell r="J756">
            <v>0</v>
          </cell>
        </row>
        <row r="757">
          <cell r="C757">
            <v>8254</v>
          </cell>
          <cell r="D757" t="str">
            <v>CM TIENDA EL CANADA</v>
          </cell>
          <cell r="E757" t="str">
            <v>S</v>
          </cell>
          <cell r="F757" t="str">
            <v>20001</v>
          </cell>
          <cell r="G757" t="str">
            <v>CM</v>
          </cell>
          <cell r="H757" t="str">
            <v>CRA 41 N 2B - 29 LA ROCA</v>
          </cell>
          <cell r="J757">
            <v>0</v>
          </cell>
        </row>
        <row r="758">
          <cell r="C758">
            <v>8063</v>
          </cell>
          <cell r="D758" t="str">
            <v>CM CORREGIMIENTO PALESTINA</v>
          </cell>
          <cell r="E758" t="str">
            <v>S</v>
          </cell>
          <cell r="F758" t="str">
            <v>20787</v>
          </cell>
          <cell r="G758" t="str">
            <v>CM</v>
          </cell>
          <cell r="H758" t="str">
            <v>CRA 4 CLL 1-18</v>
          </cell>
          <cell r="J758">
            <v>0</v>
          </cell>
        </row>
        <row r="759">
          <cell r="C759">
            <v>8316</v>
          </cell>
          <cell r="D759" t="str">
            <v xml:space="preserve"> MOVILES AMBULANTE MOVISTAR</v>
          </cell>
          <cell r="E759" t="str">
            <v>S</v>
          </cell>
          <cell r="F759" t="str">
            <v>20013</v>
          </cell>
          <cell r="G759" t="str">
            <v xml:space="preserve">AMB </v>
          </cell>
          <cell r="H759" t="str">
            <v>CL||17|||||#|15||-|111|||</v>
          </cell>
          <cell r="J759">
            <v>120523</v>
          </cell>
          <cell r="L759" t="str">
            <v>10.03699</v>
          </cell>
          <cell r="M759" t="str">
            <v>-73.23657</v>
          </cell>
        </row>
        <row r="760">
          <cell r="C760">
            <v>8329</v>
          </cell>
          <cell r="D760" t="str">
            <v xml:space="preserve">AMBULANTE CLARO BOSCONIA </v>
          </cell>
          <cell r="E760" t="str">
            <v>S</v>
          </cell>
          <cell r="F760" t="str">
            <v>20060</v>
          </cell>
          <cell r="G760" t="str">
            <v xml:space="preserve">AMB </v>
          </cell>
          <cell r="H760" t="str">
            <v>CR||18|||||#|16||-|68|||</v>
          </cell>
          <cell r="J760">
            <v>120523</v>
          </cell>
          <cell r="L760" t="str">
            <v>9.9723</v>
          </cell>
          <cell r="M760" t="str">
            <v>-73.8858</v>
          </cell>
        </row>
        <row r="761">
          <cell r="C761">
            <v>8370</v>
          </cell>
          <cell r="D761" t="str">
            <v>CM BARRIO LAS FLOREZ</v>
          </cell>
          <cell r="E761" t="str">
            <v>S</v>
          </cell>
          <cell r="F761" t="str">
            <v>20550</v>
          </cell>
          <cell r="G761" t="str">
            <v>CM</v>
          </cell>
          <cell r="H761" t="str">
            <v>CR 7 N 7 - 02</v>
          </cell>
          <cell r="J761">
            <v>0</v>
          </cell>
        </row>
        <row r="762">
          <cell r="C762">
            <v>8411</v>
          </cell>
          <cell r="D762" t="str">
            <v>CM LA PLAYITA</v>
          </cell>
          <cell r="E762" t="str">
            <v>S</v>
          </cell>
          <cell r="F762" t="str">
            <v>20001</v>
          </cell>
          <cell r="G762" t="str">
            <v>CPM</v>
          </cell>
          <cell r="H762" t="str">
            <v>CL 28  15 - 26 AP 01</v>
          </cell>
          <cell r="J762">
            <v>0</v>
          </cell>
        </row>
        <row r="763">
          <cell r="C763">
            <v>8419</v>
          </cell>
          <cell r="D763" t="str">
            <v>CM SUPERTIENDA SMITH</v>
          </cell>
          <cell r="E763" t="str">
            <v>S</v>
          </cell>
          <cell r="F763" t="str">
            <v>20001</v>
          </cell>
          <cell r="G763" t="str">
            <v>CM</v>
          </cell>
          <cell r="H763" t="str">
            <v>CL 35  21 - 70</v>
          </cell>
          <cell r="J763">
            <v>0</v>
          </cell>
        </row>
        <row r="764">
          <cell r="C764">
            <v>8420</v>
          </cell>
          <cell r="D764" t="str">
            <v>CM STYLE SPORT MAN 1</v>
          </cell>
          <cell r="E764" t="str">
            <v>S</v>
          </cell>
          <cell r="F764" t="str">
            <v>20001</v>
          </cell>
          <cell r="G764" t="str">
            <v>CM</v>
          </cell>
          <cell r="H764" t="str">
            <v>CL 39  5D - 15</v>
          </cell>
          <cell r="J764">
            <v>0</v>
          </cell>
        </row>
        <row r="765">
          <cell r="C765">
            <v>8362</v>
          </cell>
          <cell r="D765" t="str">
            <v>CDA LA CANDELARIA</v>
          </cell>
          <cell r="E765" t="str">
            <v>S</v>
          </cell>
          <cell r="F765" t="str">
            <v>20001</v>
          </cell>
          <cell r="G765" t="str">
            <v xml:space="preserve">CDA </v>
          </cell>
          <cell r="H765" t="str">
            <v>CR||23|||||#|6||-|30|||</v>
          </cell>
          <cell r="J765">
            <v>120523</v>
          </cell>
          <cell r="L765" t="str">
            <v>10.4808014</v>
          </cell>
          <cell r="M765" t="str">
            <v>-73.27221139</v>
          </cell>
        </row>
        <row r="766">
          <cell r="C766">
            <v>7153</v>
          </cell>
          <cell r="D766" t="str">
            <v xml:space="preserve">OFICINA SAN ANTONIO </v>
          </cell>
          <cell r="E766" t="str">
            <v>S</v>
          </cell>
          <cell r="F766" t="str">
            <v>20011</v>
          </cell>
          <cell r="G766" t="str">
            <v xml:space="preserve">CDA </v>
          </cell>
          <cell r="H766" t="str">
            <v>CR||16|||||#|5||-|20|||</v>
          </cell>
          <cell r="J766">
            <v>120523</v>
          </cell>
          <cell r="L766" t="str">
            <v>8.30923</v>
          </cell>
          <cell r="M766" t="str">
            <v>-73.618025</v>
          </cell>
        </row>
        <row r="767">
          <cell r="C767">
            <v>9072</v>
          </cell>
          <cell r="D767" t="str">
            <v>PDV LA PLAZA</v>
          </cell>
          <cell r="E767" t="str">
            <v>S</v>
          </cell>
          <cell r="F767" t="str">
            <v>20750</v>
          </cell>
          <cell r="G767" t="str">
            <v xml:space="preserve">PDV </v>
          </cell>
          <cell r="H767" t="str">
            <v>CR||5|||||#|1||-|25|||</v>
          </cell>
          <cell r="J767">
            <v>120523</v>
          </cell>
          <cell r="L767" t="str">
            <v>10.333324</v>
          </cell>
          <cell r="M767" t="str">
            <v>-73.181482</v>
          </cell>
        </row>
        <row r="768">
          <cell r="C768">
            <v>9079</v>
          </cell>
          <cell r="D768" t="str">
            <v>PDV SOHAIR</v>
          </cell>
          <cell r="E768" t="str">
            <v>S</v>
          </cell>
          <cell r="F768" t="str">
            <v>20001</v>
          </cell>
          <cell r="G768" t="str">
            <v xml:space="preserve">PDV </v>
          </cell>
          <cell r="H768" t="str">
            <v>CR||21|||||#|33||-|2|||</v>
          </cell>
          <cell r="J768">
            <v>120523</v>
          </cell>
          <cell r="L768" t="str">
            <v>10.463719</v>
          </cell>
          <cell r="M768" t="str">
            <v>-73.265587</v>
          </cell>
        </row>
        <row r="769">
          <cell r="C769">
            <v>16889</v>
          </cell>
          <cell r="D769" t="str">
            <v>PDV CENTRO SAN ALBERTO</v>
          </cell>
          <cell r="E769" t="str">
            <v>S</v>
          </cell>
          <cell r="F769" t="str">
            <v>20710</v>
          </cell>
          <cell r="G769" t="str">
            <v xml:space="preserve">PF </v>
          </cell>
          <cell r="H769" t="str">
            <v>CR||2|||||#|4||-|73|||</v>
          </cell>
          <cell r="J769">
            <v>120523</v>
          </cell>
          <cell r="L769" t="str">
            <v>7.761401</v>
          </cell>
          <cell r="M769" t="str">
            <v>-73.38977</v>
          </cell>
        </row>
        <row r="770">
          <cell r="C770">
            <v>17013</v>
          </cell>
          <cell r="D770" t="str">
            <v>RSC RECAUDO MOVIL</v>
          </cell>
          <cell r="E770" t="str">
            <v>S</v>
          </cell>
          <cell r="F770" t="str">
            <v>20001</v>
          </cell>
          <cell r="G770" t="str">
            <v xml:space="preserve">AMB </v>
          </cell>
          <cell r="H770" t="str">
            <v>CR||12|||||#|16||-|42|||</v>
          </cell>
          <cell r="J770">
            <v>120523</v>
          </cell>
        </row>
        <row r="771">
          <cell r="C771">
            <v>17015</v>
          </cell>
          <cell r="D771" t="str">
            <v>PDV LA 25</v>
          </cell>
          <cell r="E771" t="str">
            <v>S</v>
          </cell>
          <cell r="F771" t="str">
            <v>20001</v>
          </cell>
          <cell r="G771" t="str">
            <v xml:space="preserve">PDV </v>
          </cell>
          <cell r="H771" t="str">
            <v>DG||18|A||||#|24|A|-|24|||</v>
          </cell>
          <cell r="J771">
            <v>120523</v>
          </cell>
          <cell r="L771" t="str">
            <v>10.459847</v>
          </cell>
          <cell r="M771" t="str">
            <v>-73.267335</v>
          </cell>
        </row>
        <row r="772">
          <cell r="C772">
            <v>8676</v>
          </cell>
          <cell r="D772" t="str">
            <v>CM FUTURO GALERIA</v>
          </cell>
          <cell r="E772" t="str">
            <v>S</v>
          </cell>
          <cell r="F772" t="str">
            <v>20001</v>
          </cell>
          <cell r="G772" t="str">
            <v xml:space="preserve">CM </v>
          </cell>
          <cell r="H772" t="str">
            <v>CL||17|||||#|10||-|1|||</v>
          </cell>
          <cell r="J772">
            <v>120523</v>
          </cell>
          <cell r="L772" t="str">
            <v>10.4732</v>
          </cell>
          <cell r="M772" t="str">
            <v>-73.243</v>
          </cell>
        </row>
        <row r="773">
          <cell r="C773">
            <v>7164</v>
          </cell>
          <cell r="D773" t="str">
            <v>PDV LA 21</v>
          </cell>
          <cell r="E773" t="str">
            <v>S</v>
          </cell>
          <cell r="F773" t="str">
            <v>20001</v>
          </cell>
          <cell r="G773" t="str">
            <v xml:space="preserve">PDV </v>
          </cell>
          <cell r="H773" t="str">
            <v>CR||20|||||#|21||-|8|||</v>
          </cell>
          <cell r="J773">
            <v>120523</v>
          </cell>
          <cell r="L773" t="str">
            <v>10.4605</v>
          </cell>
          <cell r="M773" t="str">
            <v>-73.2544</v>
          </cell>
        </row>
        <row r="774">
          <cell r="C774">
            <v>17930</v>
          </cell>
          <cell r="D774" t="str">
            <v>PDV SANTA ISABEL</v>
          </cell>
          <cell r="E774" t="str">
            <v>S</v>
          </cell>
          <cell r="F774" t="str">
            <v>20001</v>
          </cell>
          <cell r="G774" t="str">
            <v xml:space="preserve">PDV </v>
          </cell>
          <cell r="H774" t="str">
            <v>TR||25|A||||#|17||-|35|||</v>
          </cell>
          <cell r="J774">
            <v>120523</v>
          </cell>
          <cell r="L774" t="str">
            <v>10.4618</v>
          </cell>
          <cell r="M774" t="str">
            <v>-73.2514</v>
          </cell>
        </row>
        <row r="775">
          <cell r="C775">
            <v>8079</v>
          </cell>
          <cell r="D775" t="str">
            <v>PDV LA CABAÑA</v>
          </cell>
          <cell r="E775" t="str">
            <v>S</v>
          </cell>
          <cell r="F775" t="str">
            <v>20011</v>
          </cell>
          <cell r="G775" t="str">
            <v xml:space="preserve">PDV </v>
          </cell>
          <cell r="H775" t="str">
            <v>CL||5|||||#|20||-|15|||</v>
          </cell>
          <cell r="J775">
            <v>120523</v>
          </cell>
          <cell r="L775" t="str">
            <v>8.3076088</v>
          </cell>
          <cell r="M775" t="str">
            <v>-73.597888</v>
          </cell>
        </row>
        <row r="776">
          <cell r="C776">
            <v>9172</v>
          </cell>
          <cell r="D776" t="str">
            <v>PDV VILLA CLARA</v>
          </cell>
          <cell r="E776" t="str">
            <v>S</v>
          </cell>
          <cell r="F776" t="str">
            <v>20001</v>
          </cell>
          <cell r="G776" t="str">
            <v xml:space="preserve">PDV </v>
          </cell>
          <cell r="H776" t="str">
            <v>CL||35|||||#|20||-|28|||</v>
          </cell>
          <cell r="J776">
            <v>120523</v>
          </cell>
          <cell r="L776" t="str">
            <v>10.4648</v>
          </cell>
          <cell r="M776" t="str">
            <v>-73.2359</v>
          </cell>
        </row>
        <row r="777">
          <cell r="C777">
            <v>7109</v>
          </cell>
          <cell r="D777" t="str">
            <v>AMBULANTE CLARO VENTA PORC</v>
          </cell>
          <cell r="E777" t="str">
            <v>S</v>
          </cell>
          <cell r="F777" t="str">
            <v>20001</v>
          </cell>
          <cell r="G777" t="str">
            <v xml:space="preserve">AMB </v>
          </cell>
          <cell r="H777" t="str">
            <v>CL||16|A||||#|9||-|63|||</v>
          </cell>
          <cell r="J777">
            <v>0</v>
          </cell>
          <cell r="L777" t="str">
            <v>10.473</v>
          </cell>
          <cell r="M777" t="str">
            <v>-73.2494</v>
          </cell>
        </row>
        <row r="778">
          <cell r="C778">
            <v>23996</v>
          </cell>
          <cell r="D778" t="str">
            <v>CM PAGOS SAN MARTIN</v>
          </cell>
          <cell r="E778" t="str">
            <v>S</v>
          </cell>
          <cell r="F778" t="str">
            <v>20770</v>
          </cell>
          <cell r="G778" t="str">
            <v xml:space="preserve">CM </v>
          </cell>
          <cell r="H778" t="str">
            <v>CL||14|||||#|7||-|76|||</v>
          </cell>
          <cell r="J778">
            <v>120523</v>
          </cell>
          <cell r="L778" t="str">
            <v>8.002892</v>
          </cell>
          <cell r="M778" t="str">
            <v>-73.512197</v>
          </cell>
        </row>
        <row r="779">
          <cell r="C779">
            <v>23899</v>
          </cell>
          <cell r="D779" t="str">
            <v>CM VALLEDUPAR N°6</v>
          </cell>
          <cell r="E779" t="str">
            <v>S</v>
          </cell>
          <cell r="F779" t="str">
            <v>20001</v>
          </cell>
          <cell r="G779" t="str">
            <v xml:space="preserve">CM </v>
          </cell>
          <cell r="H779" t="str">
            <v>CR||41|||||#|5|H|-|31|||</v>
          </cell>
          <cell r="J779">
            <v>120523</v>
          </cell>
          <cell r="L779" t="str">
            <v>10.477677</v>
          </cell>
          <cell r="M779" t="str">
            <v>-73.2807783</v>
          </cell>
        </row>
        <row r="780">
          <cell r="C780">
            <v>42455</v>
          </cell>
          <cell r="D780" t="str">
            <v>CM SIX JANUARY</v>
          </cell>
          <cell r="E780" t="str">
            <v>S</v>
          </cell>
          <cell r="F780" t="str">
            <v>20045</v>
          </cell>
          <cell r="H780" t="str">
            <v>CL||6|||||#|10|C|-|31|||</v>
          </cell>
          <cell r="J780">
            <v>120523</v>
          </cell>
          <cell r="L780" t="str">
            <v>9.70479</v>
          </cell>
          <cell r="M780" t="str">
            <v>-73.27475</v>
          </cell>
        </row>
        <row r="781">
          <cell r="C781">
            <v>40215</v>
          </cell>
          <cell r="D781" t="str">
            <v>CM LA ESTACION CHIRIGUANA</v>
          </cell>
          <cell r="E781" t="str">
            <v>S</v>
          </cell>
          <cell r="F781" t="str">
            <v>20178</v>
          </cell>
          <cell r="G781" t="str">
            <v xml:space="preserve">CM </v>
          </cell>
          <cell r="H781" t="str">
            <v>CL||1|||||#|1||-|43|||</v>
          </cell>
          <cell r="J781">
            <v>120523</v>
          </cell>
          <cell r="L781" t="str">
            <v>9.3662</v>
          </cell>
          <cell r="M781" t="str">
            <v>-73.5648</v>
          </cell>
        </row>
        <row r="782">
          <cell r="C782">
            <v>40321</v>
          </cell>
          <cell r="D782" t="str">
            <v>TAT CENTRO CURUMANI</v>
          </cell>
          <cell r="E782" t="str">
            <v>S</v>
          </cell>
          <cell r="F782" t="str">
            <v>20228</v>
          </cell>
          <cell r="G782" t="str">
            <v xml:space="preserve">TAT </v>
          </cell>
          <cell r="H782" t="str">
            <v>CR||15|||||#|9||-|1|||</v>
          </cell>
          <cell r="J782">
            <v>120523</v>
          </cell>
          <cell r="L782" t="str">
            <v>9.200957</v>
          </cell>
          <cell r="M782" t="str">
            <v>-73.541921</v>
          </cell>
        </row>
        <row r="783">
          <cell r="C783">
            <v>40332</v>
          </cell>
          <cell r="D783" t="str">
            <v>CM SEBAS ASTREA</v>
          </cell>
          <cell r="E783" t="str">
            <v>S</v>
          </cell>
          <cell r="F783" t="str">
            <v>20032</v>
          </cell>
          <cell r="G783" t="str">
            <v xml:space="preserve">CM </v>
          </cell>
          <cell r="H783" t="str">
            <v>CL||13|||||#|3|A|-|15|||</v>
          </cell>
          <cell r="J783">
            <v>120523</v>
          </cell>
          <cell r="L783" t="str">
            <v>9.4955</v>
          </cell>
          <cell r="M783" t="str">
            <v>-73.974</v>
          </cell>
        </row>
        <row r="784">
          <cell r="C784">
            <v>40621</v>
          </cell>
          <cell r="D784" t="str">
            <v xml:space="preserve">PDV ENTRADA  MERCADO </v>
          </cell>
          <cell r="E784" t="str">
            <v>S</v>
          </cell>
          <cell r="F784" t="str">
            <v>20001</v>
          </cell>
          <cell r="G784" t="str">
            <v xml:space="preserve">PDV </v>
          </cell>
          <cell r="H784" t="str">
            <v>CL||20|||||#|13||-|57|||</v>
          </cell>
          <cell r="J784">
            <v>120523</v>
          </cell>
          <cell r="L784" t="str">
            <v>10.4661</v>
          </cell>
          <cell r="M784" t="str">
            <v>-73.247</v>
          </cell>
        </row>
        <row r="785">
          <cell r="C785">
            <v>41095</v>
          </cell>
          <cell r="D785" t="str">
            <v>PDV LAS CASITAS</v>
          </cell>
          <cell r="E785" t="str">
            <v>S</v>
          </cell>
          <cell r="F785" t="str">
            <v>20621</v>
          </cell>
          <cell r="H785" t="str">
            <v>CL||3|||||#|3||-|95|||</v>
          </cell>
          <cell r="J785">
            <v>120523</v>
          </cell>
          <cell r="L785" t="str">
            <v>10.368602</v>
          </cell>
          <cell r="M785" t="str">
            <v>-73.255825</v>
          </cell>
        </row>
        <row r="786">
          <cell r="C786">
            <v>42565</v>
          </cell>
          <cell r="D786" t="str">
            <v>TAT MARIA TERESA</v>
          </cell>
          <cell r="E786" t="str">
            <v>S</v>
          </cell>
          <cell r="F786" t="str">
            <v>20400</v>
          </cell>
          <cell r="H786" t="str">
            <v>DG||1|||||#|4||-|3|||</v>
          </cell>
          <cell r="J786">
            <v>120523</v>
          </cell>
          <cell r="L786" t="str">
            <v>9.5655</v>
          </cell>
          <cell r="M786" t="str">
            <v>-73.3316</v>
          </cell>
        </row>
        <row r="787">
          <cell r="C787">
            <v>40085</v>
          </cell>
          <cell r="D787" t="str">
            <v>PDV PRINCIPAL LA QUINTA</v>
          </cell>
          <cell r="E787" t="str">
            <v>S</v>
          </cell>
          <cell r="F787" t="str">
            <v>20011</v>
          </cell>
          <cell r="G787" t="str">
            <v xml:space="preserve">PDV </v>
          </cell>
          <cell r="H787" t="str">
            <v>CL||5|||||#|6||-|82|||</v>
          </cell>
          <cell r="J787">
            <v>120523</v>
          </cell>
          <cell r="L787" t="str">
            <v>8.309793</v>
          </cell>
          <cell r="M787" t="str">
            <v>-73.617263</v>
          </cell>
        </row>
        <row r="788">
          <cell r="C788">
            <v>43388</v>
          </cell>
          <cell r="D788" t="str">
            <v>CM AZAIROS VARIEDAD</v>
          </cell>
          <cell r="E788" t="str">
            <v>S</v>
          </cell>
          <cell r="F788" t="str">
            <v>20001</v>
          </cell>
          <cell r="H788" t="str">
            <v>CR||20|||||#|39||-|46|||</v>
          </cell>
          <cell r="J788">
            <v>120523</v>
          </cell>
          <cell r="L788" t="str">
            <v>10.4484</v>
          </cell>
          <cell r="M788" t="str">
            <v>-73.2478</v>
          </cell>
        </row>
        <row r="789">
          <cell r="C789">
            <v>43411</v>
          </cell>
          <cell r="D789" t="str">
            <v>CM EDELMIRA</v>
          </cell>
          <cell r="E789" t="str">
            <v>S</v>
          </cell>
          <cell r="F789" t="str">
            <v>20013</v>
          </cell>
          <cell r="H789" t="str">
            <v>CR||5|||||#|6||-|142|||</v>
          </cell>
          <cell r="J789">
            <v>120523</v>
          </cell>
          <cell r="L789" t="str">
            <v>9.828981</v>
          </cell>
          <cell r="M789" t="str">
            <v>-73.259678</v>
          </cell>
        </row>
        <row r="790">
          <cell r="C790">
            <v>43748</v>
          </cell>
          <cell r="D790" t="str">
            <v xml:space="preserve">TAT MALEJA </v>
          </cell>
          <cell r="E790" t="str">
            <v>S</v>
          </cell>
          <cell r="F790" t="str">
            <v>20228</v>
          </cell>
          <cell r="H790" t="str">
            <v>CR||16|||||#|12||-|74|||</v>
          </cell>
          <cell r="J790">
            <v>120523</v>
          </cell>
          <cell r="L790" t="str">
            <v>9.205142</v>
          </cell>
          <cell r="M790" t="str">
            <v>-73.541968</v>
          </cell>
        </row>
        <row r="791">
          <cell r="C791">
            <v>43773</v>
          </cell>
          <cell r="D791" t="str">
            <v xml:space="preserve">CM MILENA </v>
          </cell>
          <cell r="E791" t="str">
            <v>S</v>
          </cell>
          <cell r="F791" t="str">
            <v>20517</v>
          </cell>
          <cell r="H791" t="str">
            <v>CL||4|||||#|4|A|-|15|||</v>
          </cell>
          <cell r="J791">
            <v>120523</v>
          </cell>
          <cell r="L791" t="str">
            <v>8.95495</v>
          </cell>
          <cell r="M791" t="str">
            <v>-73.6224</v>
          </cell>
        </row>
        <row r="792">
          <cell r="C792">
            <v>44809</v>
          </cell>
          <cell r="D792" t="str">
            <v>OFICINA PPAL SAN ROQUE</v>
          </cell>
          <cell r="E792" t="str">
            <v>S</v>
          </cell>
          <cell r="F792" t="str">
            <v>20228</v>
          </cell>
          <cell r="H792" t="str">
            <v>CL||8|||||#|14||-|33|||</v>
          </cell>
          <cell r="J792">
            <v>0</v>
          </cell>
          <cell r="L792" t="str">
            <v>9.288</v>
          </cell>
          <cell r="M792" t="str">
            <v>-73.51113</v>
          </cell>
        </row>
        <row r="793">
          <cell r="C793">
            <v>44943</v>
          </cell>
          <cell r="D793" t="str">
            <v xml:space="preserve">CM LA KOPERATIVA </v>
          </cell>
          <cell r="E793" t="str">
            <v>S</v>
          </cell>
          <cell r="F793" t="str">
            <v>20001</v>
          </cell>
          <cell r="H793" t="str">
            <v>TR||23|||||#|20|B|-|36|||</v>
          </cell>
          <cell r="J793">
            <v>120523</v>
          </cell>
          <cell r="L793" t="str">
            <v>10.457354</v>
          </cell>
          <cell r="M793" t="str">
            <v>-73.25653</v>
          </cell>
        </row>
        <row r="794">
          <cell r="C794">
            <v>45153</v>
          </cell>
          <cell r="D794" t="str">
            <v>CM DON JUSTO</v>
          </cell>
          <cell r="E794" t="str">
            <v>S</v>
          </cell>
          <cell r="F794" t="str">
            <v>20011</v>
          </cell>
          <cell r="H794" t="str">
            <v>CL||9|||||#|10|A|-|28|||</v>
          </cell>
          <cell r="J794">
            <v>120523</v>
          </cell>
          <cell r="L794" t="str">
            <v>8.304285</v>
          </cell>
          <cell r="M794" t="str">
            <v>-73.623629</v>
          </cell>
        </row>
        <row r="795">
          <cell r="C795">
            <v>47092</v>
          </cell>
          <cell r="D795" t="str">
            <v>AMBULANTE CURUMANI MOVISTAR</v>
          </cell>
          <cell r="E795" t="str">
            <v>S</v>
          </cell>
          <cell r="F795" t="str">
            <v>20228</v>
          </cell>
          <cell r="H795" t="str">
            <v>CL 8 # 14-33</v>
          </cell>
          <cell r="J795">
            <v>0</v>
          </cell>
          <cell r="L795" t="str">
            <v>9.199663</v>
          </cell>
          <cell r="M795" t="str">
            <v>-73.543478</v>
          </cell>
        </row>
        <row r="796">
          <cell r="C796">
            <v>47140</v>
          </cell>
          <cell r="D796" t="str">
            <v>AMBULANTE GAMARRA MOVISTAR</v>
          </cell>
          <cell r="E796" t="str">
            <v>S</v>
          </cell>
          <cell r="F796" t="str">
            <v>20295</v>
          </cell>
          <cell r="H796" t="str">
            <v>CL 7 # 7-40</v>
          </cell>
          <cell r="J796">
            <v>0</v>
          </cell>
          <cell r="L796" t="str">
            <v>8.32344</v>
          </cell>
          <cell r="M796" t="str">
            <v>-73.74112</v>
          </cell>
        </row>
        <row r="797">
          <cell r="C797">
            <v>47147</v>
          </cell>
          <cell r="D797" t="str">
            <v>AMBULANTE RIO DE ORO CLARO</v>
          </cell>
          <cell r="E797" t="str">
            <v>S</v>
          </cell>
          <cell r="F797" t="str">
            <v>20614</v>
          </cell>
          <cell r="H797" t="str">
            <v>CL 1 # 2-117</v>
          </cell>
          <cell r="J797">
            <v>0</v>
          </cell>
          <cell r="L797" t="str">
            <v>8.29129694</v>
          </cell>
          <cell r="M797" t="str">
            <v>-73.38600666</v>
          </cell>
        </row>
        <row r="798">
          <cell r="C798">
            <v>47149</v>
          </cell>
          <cell r="D798" t="str">
            <v>AMBULANTE RIO DE ORO MOVISTAR</v>
          </cell>
          <cell r="E798" t="str">
            <v>S</v>
          </cell>
          <cell r="F798" t="str">
            <v>20614</v>
          </cell>
          <cell r="H798" t="str">
            <v>CL 1 # 2-117</v>
          </cell>
          <cell r="J798">
            <v>0</v>
          </cell>
          <cell r="L798" t="str">
            <v>8.29129694</v>
          </cell>
          <cell r="M798" t="str">
            <v>-73.38600666</v>
          </cell>
        </row>
        <row r="799">
          <cell r="C799">
            <v>47481</v>
          </cell>
          <cell r="D799" t="str">
            <v>CM VILLA RUBIELA</v>
          </cell>
          <cell r="E799" t="str">
            <v>S</v>
          </cell>
          <cell r="F799" t="str">
            <v>20250</v>
          </cell>
          <cell r="H799" t="str">
            <v>CR 5 CL 5-6 BARRIO LA ESPERANZA</v>
          </cell>
          <cell r="J799">
            <v>0</v>
          </cell>
          <cell r="L799" t="str">
            <v>9.7375</v>
          </cell>
          <cell r="M799" t="str">
            <v>-73.7111</v>
          </cell>
        </row>
        <row r="800">
          <cell r="C800">
            <v>44530</v>
          </cell>
          <cell r="D800" t="str">
            <v xml:space="preserve">CM PUNTO RED LA JAGUA </v>
          </cell>
          <cell r="E800" t="str">
            <v>S</v>
          </cell>
          <cell r="F800" t="str">
            <v>20400</v>
          </cell>
          <cell r="H800" t="str">
            <v>DG||1|||||#|4||-|71|||</v>
          </cell>
          <cell r="J800">
            <v>120523</v>
          </cell>
          <cell r="L800" t="str">
            <v>9.56515</v>
          </cell>
          <cell r="M800" t="str">
            <v>-73.332176</v>
          </cell>
        </row>
        <row r="801">
          <cell r="C801">
            <v>44572</v>
          </cell>
          <cell r="D801" t="str">
            <v>TAT NEILA</v>
          </cell>
          <cell r="E801" t="str">
            <v>S</v>
          </cell>
          <cell r="F801" t="str">
            <v>20228</v>
          </cell>
          <cell r="H801" t="str">
            <v>CL||8|||||#|22||-|76|||</v>
          </cell>
          <cell r="J801">
            <v>120523</v>
          </cell>
          <cell r="L801" t="str">
            <v>9.202565</v>
          </cell>
          <cell r="M801" t="str">
            <v>-73.549558</v>
          </cell>
        </row>
        <row r="802">
          <cell r="C802">
            <v>44723</v>
          </cell>
          <cell r="D802" t="str">
            <v>CM LUCIANA</v>
          </cell>
          <cell r="E802" t="str">
            <v>S</v>
          </cell>
          <cell r="F802" t="str">
            <v>20238</v>
          </cell>
          <cell r="H802" t="str">
            <v>CR||30|||||#|6|A|-|7|||</v>
          </cell>
          <cell r="J802">
            <v>120523</v>
          </cell>
          <cell r="L802" t="str">
            <v>10.14251</v>
          </cell>
          <cell r="M802" t="str">
            <v>-73.96843</v>
          </cell>
        </row>
        <row r="803">
          <cell r="C803">
            <v>45214</v>
          </cell>
          <cell r="D803" t="str">
            <v>CM EL BOBY</v>
          </cell>
          <cell r="E803" t="str">
            <v>S</v>
          </cell>
          <cell r="F803" t="str">
            <v>20001</v>
          </cell>
          <cell r="H803" t="str">
            <v>CL||20|||||#|6|B|-|16|||</v>
          </cell>
          <cell r="J803">
            <v>120523</v>
          </cell>
          <cell r="L803" t="str">
            <v>10.4689</v>
          </cell>
          <cell r="M803" t="str">
            <v>-73.2422</v>
          </cell>
        </row>
        <row r="804">
          <cell r="C804">
            <v>45482</v>
          </cell>
          <cell r="D804" t="str">
            <v>CM VIÑAS</v>
          </cell>
          <cell r="E804" t="str">
            <v>S</v>
          </cell>
          <cell r="F804" t="str">
            <v>20013</v>
          </cell>
          <cell r="H804" t="str">
            <v>DG||31|||||#|11|A|-|57|||</v>
          </cell>
          <cell r="J804">
            <v>120523</v>
          </cell>
          <cell r="L804" t="str">
            <v>10.04434</v>
          </cell>
          <cell r="M804" t="str">
            <v>-73.23007</v>
          </cell>
        </row>
        <row r="805">
          <cell r="C805">
            <v>46242</v>
          </cell>
          <cell r="D805" t="str">
            <v>CM COOP Y REST COOTRANCZNORTE</v>
          </cell>
          <cell r="E805" t="str">
            <v>S</v>
          </cell>
          <cell r="F805" t="str">
            <v>20001</v>
          </cell>
          <cell r="H805" t="str">
            <v>CL||18|A||||#|6||-|37|||</v>
          </cell>
          <cell r="J805">
            <v>260523</v>
          </cell>
          <cell r="L805" t="str">
            <v>10.4733</v>
          </cell>
          <cell r="M805" t="str">
            <v>-73.2423</v>
          </cell>
        </row>
        <row r="806">
          <cell r="C806">
            <v>42454</v>
          </cell>
          <cell r="D806" t="str">
            <v xml:space="preserve">CM  EL CARMEN </v>
          </cell>
          <cell r="E806" t="str">
            <v>S</v>
          </cell>
          <cell r="F806" t="str">
            <v>20060</v>
          </cell>
          <cell r="H806" t="str">
            <v>CL||19|||||#|21||-|47|||</v>
          </cell>
          <cell r="J806">
            <v>120523</v>
          </cell>
          <cell r="L806" t="str">
            <v>9.9718</v>
          </cell>
          <cell r="M806" t="str">
            <v>-73.8903</v>
          </cell>
        </row>
        <row r="807">
          <cell r="C807">
            <v>46688</v>
          </cell>
          <cell r="D807" t="str">
            <v>CM DELICIAS DE LA KASA</v>
          </cell>
          <cell r="E807" t="str">
            <v>S</v>
          </cell>
          <cell r="F807" t="str">
            <v>20443</v>
          </cell>
          <cell r="H807" t="str">
            <v xml:space="preserve">CL 1D CR 7-5 </v>
          </cell>
          <cell r="J807">
            <v>0</v>
          </cell>
          <cell r="L807" t="str">
            <v>10.389448</v>
          </cell>
          <cell r="M807" t="str">
            <v>-73.027626</v>
          </cell>
        </row>
        <row r="808">
          <cell r="C808">
            <v>45445</v>
          </cell>
          <cell r="D808" t="str">
            <v>PDV EL JABO</v>
          </cell>
          <cell r="E808" t="str">
            <v>S</v>
          </cell>
          <cell r="F808" t="str">
            <v>20001</v>
          </cell>
          <cell r="H808" t="str">
            <v>CR||4|||||#|2||-|11|||</v>
          </cell>
          <cell r="J808">
            <v>120523</v>
          </cell>
          <cell r="L808" t="str">
            <v>10.485229</v>
          </cell>
          <cell r="M808" t="str">
            <v>-73.18468</v>
          </cell>
        </row>
        <row r="809">
          <cell r="C809">
            <v>46970</v>
          </cell>
          <cell r="D809" t="str">
            <v>CM JOHAN</v>
          </cell>
          <cell r="E809" t="str">
            <v>S</v>
          </cell>
          <cell r="F809" t="str">
            <v>20517</v>
          </cell>
          <cell r="H809" t="str">
            <v>CL 7A # 3-7 PUEBLO NUEVO</v>
          </cell>
          <cell r="J809">
            <v>0</v>
          </cell>
          <cell r="L809" t="str">
            <v>8.956741</v>
          </cell>
          <cell r="M809" t="str">
            <v>-73.618662</v>
          </cell>
        </row>
        <row r="810">
          <cell r="C810">
            <v>47116</v>
          </cell>
          <cell r="D810" t="str">
            <v>AMBULANTE SAN MARTIN MOVISTAR</v>
          </cell>
          <cell r="E810" t="str">
            <v>S</v>
          </cell>
          <cell r="F810" t="str">
            <v>20770</v>
          </cell>
          <cell r="J810">
            <v>0</v>
          </cell>
          <cell r="L810" t="str">
            <v>8.00211</v>
          </cell>
          <cell r="M810" t="str">
            <v>-73.51164</v>
          </cell>
        </row>
        <row r="811">
          <cell r="C811">
            <v>7197</v>
          </cell>
          <cell r="D811" t="str">
            <v>PDV SATELITE</v>
          </cell>
          <cell r="E811" t="str">
            <v>S</v>
          </cell>
          <cell r="F811" t="str">
            <v>20001</v>
          </cell>
          <cell r="G811" t="str">
            <v xml:space="preserve">PDV </v>
          </cell>
          <cell r="H811" t="str">
            <v>DG||21|||||#|27||-|87|||</v>
          </cell>
          <cell r="J811">
            <v>120523</v>
          </cell>
          <cell r="L811" t="str">
            <v>10.452573</v>
          </cell>
          <cell r="M811" t="str">
            <v>-73.258834</v>
          </cell>
        </row>
        <row r="812">
          <cell r="C812">
            <v>8408</v>
          </cell>
          <cell r="D812" t="str">
            <v>PDV CDV</v>
          </cell>
          <cell r="E812" t="str">
            <v>S</v>
          </cell>
          <cell r="F812" t="str">
            <v>20001</v>
          </cell>
          <cell r="G812" t="str">
            <v xml:space="preserve">PDV </v>
          </cell>
          <cell r="H812" t="str">
            <v>TR||29|||||#|18|A|-|34|||</v>
          </cell>
          <cell r="J812">
            <v>120523</v>
          </cell>
          <cell r="L812" t="str">
            <v>10.454621</v>
          </cell>
          <cell r="M812" t="str">
            <v>-73.264245</v>
          </cell>
        </row>
        <row r="813">
          <cell r="C813">
            <v>41988</v>
          </cell>
          <cell r="D813" t="str">
            <v>TAT LA POLA</v>
          </cell>
          <cell r="E813" t="str">
            <v>S</v>
          </cell>
          <cell r="F813" t="str">
            <v>20001</v>
          </cell>
          <cell r="H813" t="str">
            <v>CR||30|||||#|18|B|-|23|||</v>
          </cell>
          <cell r="J813">
            <v>120523</v>
          </cell>
          <cell r="L813" t="str">
            <v>10.453954</v>
          </cell>
          <cell r="M813" t="str">
            <v>-73.26449536</v>
          </cell>
        </row>
        <row r="814">
          <cell r="C814">
            <v>46908</v>
          </cell>
          <cell r="D814" t="str">
            <v>BODEGA AGUACHICA</v>
          </cell>
          <cell r="E814" t="str">
            <v>S</v>
          </cell>
          <cell r="F814" t="str">
            <v>20011</v>
          </cell>
          <cell r="H814" t="str">
            <v>CL||5|||||#|17||-|39|||</v>
          </cell>
          <cell r="J814">
            <v>0</v>
          </cell>
          <cell r="L814" t="str">
            <v>8.310068</v>
          </cell>
          <cell r="M814" t="str">
            <v>-73.616822</v>
          </cell>
        </row>
        <row r="815">
          <cell r="C815">
            <v>47041</v>
          </cell>
          <cell r="D815" t="str">
            <v>AMBULANTE EL PASO</v>
          </cell>
          <cell r="E815" t="str">
            <v>S</v>
          </cell>
          <cell r="F815" t="str">
            <v>20250</v>
          </cell>
          <cell r="J815">
            <v>0</v>
          </cell>
          <cell r="L815" t="str">
            <v>9.6589</v>
          </cell>
          <cell r="M815" t="str">
            <v>-73.7507</v>
          </cell>
        </row>
        <row r="816">
          <cell r="C816">
            <v>47059</v>
          </cell>
          <cell r="D816" t="str">
            <v>AMBULANTE BECERRIL</v>
          </cell>
          <cell r="E816" t="str">
            <v>S</v>
          </cell>
          <cell r="F816" t="str">
            <v>20045</v>
          </cell>
          <cell r="H816" t="str">
            <v>CL||9|||||#|3||-|77|||</v>
          </cell>
          <cell r="J816">
            <v>0</v>
          </cell>
          <cell r="L816" t="str">
            <v>9.70359</v>
          </cell>
          <cell r="M816" t="str">
            <v>-73.28087</v>
          </cell>
        </row>
        <row r="817">
          <cell r="C817">
            <v>47851</v>
          </cell>
          <cell r="D817" t="str">
            <v>CM VARIEDADES CONTRERAS</v>
          </cell>
          <cell r="E817" t="str">
            <v>S</v>
          </cell>
          <cell r="F817" t="str">
            <v>20621</v>
          </cell>
          <cell r="H817" t="str">
            <v>CL 3 # 8-24 BARRIO BETANIA</v>
          </cell>
          <cell r="J817">
            <v>0</v>
          </cell>
          <cell r="L817" t="str">
            <v>10.348585</v>
          </cell>
          <cell r="M817" t="str">
            <v>-73.0494316</v>
          </cell>
        </row>
        <row r="818">
          <cell r="C818">
            <v>47964</v>
          </cell>
          <cell r="D818" t="str">
            <v>CM SANTIAGO VELEZ 1</v>
          </cell>
          <cell r="E818" t="str">
            <v>S</v>
          </cell>
          <cell r="F818" t="str">
            <v>20011</v>
          </cell>
          <cell r="H818" t="str">
            <v>NOA MZ J CASA 24 BARRIO VILLA DEL SOL</v>
          </cell>
          <cell r="J818">
            <v>0</v>
          </cell>
          <cell r="L818" t="str">
            <v>8.3189764</v>
          </cell>
          <cell r="M818" t="str">
            <v>-73.58733328</v>
          </cell>
        </row>
        <row r="819">
          <cell r="C819">
            <v>44483</v>
          </cell>
          <cell r="D819" t="str">
            <v>TAT ALEXIS</v>
          </cell>
          <cell r="E819" t="str">
            <v>S</v>
          </cell>
          <cell r="F819" t="str">
            <v>20400</v>
          </cell>
          <cell r="H819" t="str">
            <v>DG||1|||||#|6||-|3|||</v>
          </cell>
          <cell r="J819">
            <v>0</v>
          </cell>
          <cell r="L819" t="str">
            <v>9.5645</v>
          </cell>
          <cell r="M819" t="str">
            <v>-73.3349</v>
          </cell>
        </row>
        <row r="820">
          <cell r="C820">
            <v>45262</v>
          </cell>
          <cell r="D820" t="str">
            <v>PDV CARACOLICITO</v>
          </cell>
          <cell r="E820" t="str">
            <v>S</v>
          </cell>
          <cell r="F820" t="str">
            <v>20238</v>
          </cell>
          <cell r="H820" t="str">
            <v>CL||5|||||#|6||-|25|||</v>
          </cell>
          <cell r="J820">
            <v>120523</v>
          </cell>
          <cell r="L820" t="str">
            <v>10.194694</v>
          </cell>
          <cell r="M820" t="str">
            <v>-73.971379</v>
          </cell>
        </row>
        <row r="821">
          <cell r="C821">
            <v>45387</v>
          </cell>
          <cell r="D821" t="str">
            <v>CDA VALLEDUPAR TERMINAL 2</v>
          </cell>
          <cell r="E821" t="str">
            <v>S</v>
          </cell>
          <cell r="F821" t="str">
            <v>20001</v>
          </cell>
          <cell r="H821" t="str">
            <v>CR||27|||||#|52||-|75|||</v>
          </cell>
          <cell r="J821">
            <v>120523</v>
          </cell>
          <cell r="L821" t="str">
            <v>10.441214</v>
          </cell>
          <cell r="M821" t="str">
            <v>-73.255944</v>
          </cell>
        </row>
        <row r="822">
          <cell r="C822">
            <v>45411</v>
          </cell>
          <cell r="D822" t="str">
            <v>CM NUEVO HORIZONTE</v>
          </cell>
          <cell r="E822" t="str">
            <v>S</v>
          </cell>
          <cell r="F822" t="str">
            <v>20011</v>
          </cell>
          <cell r="H822" t="str">
            <v>OT||||||||||||||MZ I # 11  BARRIO NUEVO HORIZONTE</v>
          </cell>
          <cell r="J822">
            <v>120523</v>
          </cell>
          <cell r="L822" t="str">
            <v>8.3222</v>
          </cell>
          <cell r="M822" t="str">
            <v>-73.587777</v>
          </cell>
        </row>
        <row r="823">
          <cell r="C823">
            <v>47057</v>
          </cell>
          <cell r="D823" t="str">
            <v>CM MANUEL</v>
          </cell>
          <cell r="E823" t="str">
            <v>S</v>
          </cell>
          <cell r="F823" t="str">
            <v>20001</v>
          </cell>
          <cell r="H823" t="str">
            <v>MZ 69 CASA 16-53 BARRIO BRISAS DE LA POPA</v>
          </cell>
          <cell r="J823">
            <v>0</v>
          </cell>
          <cell r="L823" t="str">
            <v>10.470680</v>
          </cell>
          <cell r="M823" t="str">
            <v>-73.275700</v>
          </cell>
        </row>
        <row r="824">
          <cell r="C824">
            <v>47101</v>
          </cell>
          <cell r="D824" t="str">
            <v>AMBULANTE EL PASO MOVISTAR</v>
          </cell>
          <cell r="E824" t="str">
            <v>S</v>
          </cell>
          <cell r="F824" t="str">
            <v>20250</v>
          </cell>
          <cell r="J824">
            <v>0</v>
          </cell>
          <cell r="L824" t="str">
            <v>9.6589</v>
          </cell>
          <cell r="M824" t="str">
            <v>-73.7507</v>
          </cell>
        </row>
        <row r="825">
          <cell r="C825">
            <v>47104</v>
          </cell>
          <cell r="D825" t="str">
            <v>AMBULANTE LA PAZ MOVISTAR</v>
          </cell>
          <cell r="E825" t="str">
            <v>S</v>
          </cell>
          <cell r="F825" t="str">
            <v>20621</v>
          </cell>
          <cell r="J825">
            <v>0</v>
          </cell>
          <cell r="L825" t="str">
            <v>10.386577</v>
          </cell>
          <cell r="M825" t="str">
            <v>-73.170702</v>
          </cell>
        </row>
        <row r="826">
          <cell r="C826">
            <v>47341</v>
          </cell>
          <cell r="D826" t="str">
            <v>CM KANDY</v>
          </cell>
          <cell r="E826" t="str">
            <v>S</v>
          </cell>
          <cell r="F826" t="str">
            <v>20178</v>
          </cell>
          <cell r="H826" t="str">
            <v>CL 1 # 3-27 BARRIO LA UNIÓN</v>
          </cell>
          <cell r="J826">
            <v>0</v>
          </cell>
          <cell r="L826" t="str">
            <v>9.359176</v>
          </cell>
          <cell r="M826" t="str">
            <v>-73.605503</v>
          </cell>
        </row>
        <row r="827">
          <cell r="C827">
            <v>45382</v>
          </cell>
          <cell r="D827" t="str">
            <v>CM CLICK PAGOS</v>
          </cell>
          <cell r="E827" t="str">
            <v>S</v>
          </cell>
          <cell r="F827" t="str">
            <v>20001</v>
          </cell>
          <cell r="H827" t="str">
            <v>OT||||||||||||||MZ 11 CA 27 MAREIGUA</v>
          </cell>
          <cell r="J827">
            <v>120523</v>
          </cell>
          <cell r="L827" t="str">
            <v>10.436917</v>
          </cell>
          <cell r="M827" t="str">
            <v>-73.252842</v>
          </cell>
        </row>
        <row r="828">
          <cell r="C828">
            <v>47932</v>
          </cell>
          <cell r="D828" t="str">
            <v>CM NUEVO MILENIO</v>
          </cell>
          <cell r="E828" t="str">
            <v>S</v>
          </cell>
          <cell r="F828" t="str">
            <v>20400</v>
          </cell>
          <cell r="H828" t="str">
            <v>MZ 13 CASA 461 BARRIO ALTOS DE MINA</v>
          </cell>
          <cell r="J828">
            <v>0</v>
          </cell>
          <cell r="L828" t="str">
            <v>9.567768</v>
          </cell>
          <cell r="M828" t="str">
            <v>-73.3432</v>
          </cell>
        </row>
        <row r="829">
          <cell r="C829">
            <v>44365</v>
          </cell>
          <cell r="D829" t="str">
            <v>CM EDUFRASSER</v>
          </cell>
          <cell r="E829" t="str">
            <v>S</v>
          </cell>
          <cell r="F829" t="str">
            <v>20001</v>
          </cell>
          <cell r="H829" t="str">
            <v>CR||19|||||#|14||-|97|||</v>
          </cell>
          <cell r="J829">
            <v>120523</v>
          </cell>
          <cell r="L829" t="str">
            <v>10.4703</v>
          </cell>
          <cell r="M829" t="str">
            <v>-73.2569</v>
          </cell>
        </row>
        <row r="830">
          <cell r="C830">
            <v>45189</v>
          </cell>
          <cell r="D830" t="str">
            <v>PDV SABANITAS</v>
          </cell>
          <cell r="E830" t="str">
            <v>S</v>
          </cell>
          <cell r="F830" t="str">
            <v>20250</v>
          </cell>
          <cell r="H830" t="str">
            <v>CL||4|||||#|6||-|133|||</v>
          </cell>
          <cell r="J830">
            <v>120523</v>
          </cell>
          <cell r="L830" t="str">
            <v>9.6597</v>
          </cell>
          <cell r="M830" t="str">
            <v>-73.7457</v>
          </cell>
        </row>
        <row r="831">
          <cell r="C831">
            <v>46281</v>
          </cell>
          <cell r="D831" t="str">
            <v>CM AGA</v>
          </cell>
          <cell r="E831" t="str">
            <v>S</v>
          </cell>
          <cell r="F831" t="str">
            <v>20011</v>
          </cell>
          <cell r="H831" t="str">
            <v>OT||||||||||||||MZ A CASA 30 URB ARB DE ALVEQUIN</v>
          </cell>
          <cell r="J831">
            <v>260523</v>
          </cell>
          <cell r="L831" t="str">
            <v>8.292954</v>
          </cell>
          <cell r="M831" t="str">
            <v>-73.619121</v>
          </cell>
        </row>
        <row r="832">
          <cell r="C832">
            <v>47553</v>
          </cell>
          <cell r="D832" t="str">
            <v xml:space="preserve">CM SARETH </v>
          </cell>
          <cell r="E832" t="str">
            <v>S</v>
          </cell>
          <cell r="F832" t="str">
            <v>20400</v>
          </cell>
          <cell r="H832" t="str">
            <v>CL 1 # 4-05 BARRIO SAN JOSÉ</v>
          </cell>
          <cell r="J832">
            <v>0</v>
          </cell>
          <cell r="L832" t="str">
            <v>9.556713</v>
          </cell>
          <cell r="M832" t="str">
            <v>-73.335269</v>
          </cell>
        </row>
        <row r="833">
          <cell r="C833">
            <v>44211</v>
          </cell>
          <cell r="D833" t="str">
            <v>CM WEBSITE  HOSPITALITO</v>
          </cell>
          <cell r="E833" t="str">
            <v>S</v>
          </cell>
          <cell r="F833" t="str">
            <v>20001</v>
          </cell>
          <cell r="H833" t="str">
            <v>CR||20|||||#|43||-|29|||</v>
          </cell>
          <cell r="J833">
            <v>120523</v>
          </cell>
          <cell r="L833" t="str">
            <v>10.4464</v>
          </cell>
          <cell r="M833" t="str">
            <v>-73.2471</v>
          </cell>
        </row>
        <row r="834">
          <cell r="C834">
            <v>44228</v>
          </cell>
          <cell r="D834" t="str">
            <v xml:space="preserve">CM MARIANA </v>
          </cell>
          <cell r="E834" t="str">
            <v>S</v>
          </cell>
          <cell r="F834" t="str">
            <v>20001</v>
          </cell>
          <cell r="H834" t="str">
            <v>TR||28|||||#|13||-|39|||</v>
          </cell>
          <cell r="J834">
            <v>120523</v>
          </cell>
          <cell r="L834" t="str">
            <v>10.4695</v>
          </cell>
          <cell r="M834" t="str">
            <v>-73.268707</v>
          </cell>
        </row>
        <row r="835">
          <cell r="C835">
            <v>44354</v>
          </cell>
          <cell r="D835" t="str">
            <v xml:space="preserve">CM KARINA </v>
          </cell>
          <cell r="E835" t="str">
            <v>S</v>
          </cell>
          <cell r="F835" t="str">
            <v>20001</v>
          </cell>
          <cell r="H835" t="str">
            <v>CL||30|A||||#|49||-|108|||</v>
          </cell>
          <cell r="J835">
            <v>0</v>
          </cell>
          <cell r="L835" t="str">
            <v>10.4591</v>
          </cell>
          <cell r="M835" t="str">
            <v>-73.2332</v>
          </cell>
        </row>
        <row r="836">
          <cell r="C836">
            <v>45278</v>
          </cell>
          <cell r="D836" t="str">
            <v>CM ALCIRA</v>
          </cell>
          <cell r="E836" t="str">
            <v>S</v>
          </cell>
          <cell r="F836" t="str">
            <v>20060</v>
          </cell>
          <cell r="H836" t="str">
            <v>CL||14|||||#|16||-|47|||</v>
          </cell>
          <cell r="J836">
            <v>120523</v>
          </cell>
          <cell r="L836" t="str">
            <v>9.971889</v>
          </cell>
          <cell r="M836" t="str">
            <v>-73.88199</v>
          </cell>
        </row>
        <row r="837">
          <cell r="C837">
            <v>47134</v>
          </cell>
          <cell r="D837" t="str">
            <v>AMBULANTE PUEBLOBELLO MOVISTAR</v>
          </cell>
          <cell r="E837" t="str">
            <v>S</v>
          </cell>
          <cell r="F837" t="str">
            <v>20570</v>
          </cell>
          <cell r="H837" t="str">
            <v>CL 9 # 4-169</v>
          </cell>
          <cell r="J837">
            <v>0</v>
          </cell>
          <cell r="L837" t="str">
            <v>10.412562</v>
          </cell>
          <cell r="M837" t="str">
            <v>-73.590992</v>
          </cell>
        </row>
        <row r="838">
          <cell r="C838">
            <v>47638</v>
          </cell>
          <cell r="D838" t="str">
            <v>BOSCONIA COLOMBIA MAYOR</v>
          </cell>
          <cell r="E838" t="str">
            <v>S</v>
          </cell>
          <cell r="F838" t="str">
            <v>20060</v>
          </cell>
          <cell r="H838" t="str">
            <v>MOVIL</v>
          </cell>
          <cell r="J838">
            <v>0</v>
          </cell>
        </row>
        <row r="839">
          <cell r="C839">
            <v>47645</v>
          </cell>
          <cell r="D839" t="str">
            <v>ASTREA COLOMBIA MAYOR</v>
          </cell>
          <cell r="E839" t="str">
            <v>S</v>
          </cell>
          <cell r="F839" t="str">
            <v>20032</v>
          </cell>
          <cell r="H839" t="str">
            <v>MOVIL</v>
          </cell>
          <cell r="J839">
            <v>0</v>
          </cell>
        </row>
        <row r="840">
          <cell r="C840">
            <v>47654</v>
          </cell>
          <cell r="D840" t="str">
            <v>PELAYA COLOMBIA MAYOR</v>
          </cell>
          <cell r="E840" t="str">
            <v>S</v>
          </cell>
          <cell r="F840" t="str">
            <v>20550</v>
          </cell>
          <cell r="H840" t="str">
            <v>MOVIL</v>
          </cell>
          <cell r="J840">
            <v>0</v>
          </cell>
        </row>
        <row r="841">
          <cell r="C841">
            <v>300098</v>
          </cell>
          <cell r="D841" t="str">
            <v>CM M Y A VARIEDADES</v>
          </cell>
          <cell r="E841" t="str">
            <v>S</v>
          </cell>
          <cell r="F841" t="str">
            <v>20060</v>
          </cell>
          <cell r="H841" t="str">
            <v>CL 25 # 21-76 BARRIO ENRIQUE AARON</v>
          </cell>
          <cell r="J841">
            <v>0</v>
          </cell>
          <cell r="L841" t="str">
            <v>9.975170</v>
          </cell>
          <cell r="M841" t="str">
            <v>-73.893733</v>
          </cell>
        </row>
        <row r="842">
          <cell r="C842">
            <v>301551</v>
          </cell>
          <cell r="D842" t="str">
            <v>CM TIENDA LOS VARAOS</v>
          </cell>
          <cell r="E842" t="str">
            <v>S</v>
          </cell>
          <cell r="F842" t="str">
            <v>20250</v>
          </cell>
          <cell r="H842" t="str">
            <v>CL 11B # 9-33 BARRIO EL CARMEN</v>
          </cell>
          <cell r="J842">
            <v>0</v>
          </cell>
          <cell r="L842" t="str">
            <v>9.623341</v>
          </cell>
          <cell r="M842" t="str">
            <v>-73.593121</v>
          </cell>
        </row>
        <row r="843">
          <cell r="C843">
            <v>302259</v>
          </cell>
          <cell r="D843" t="str">
            <v>CM CALZADO CAMI</v>
          </cell>
          <cell r="E843" t="str">
            <v>S</v>
          </cell>
          <cell r="F843" t="str">
            <v>20175</v>
          </cell>
          <cell r="H843" t="str">
            <v xml:space="preserve">CL 11 CR 10-8 BARRIO SAN MARTIN </v>
          </cell>
          <cell r="J843">
            <v>0</v>
          </cell>
          <cell r="L843" t="str">
            <v>9.2603</v>
          </cell>
          <cell r="M843" t="str">
            <v>-73.8148</v>
          </cell>
        </row>
        <row r="844">
          <cell r="C844">
            <v>300981</v>
          </cell>
          <cell r="D844" t="str">
            <v>CM AILIANYS</v>
          </cell>
          <cell r="E844" t="str">
            <v>S</v>
          </cell>
          <cell r="F844" t="str">
            <v>20250</v>
          </cell>
          <cell r="H844" t="str">
            <v>CR 3 #5-20 BARRIO EL BOLSILLITO</v>
          </cell>
          <cell r="J844">
            <v>0</v>
          </cell>
          <cell r="L844" t="str">
            <v>9.65652036</v>
          </cell>
          <cell r="M844" t="str">
            <v>-73.749815</v>
          </cell>
        </row>
        <row r="845">
          <cell r="C845">
            <v>302481</v>
          </cell>
          <cell r="D845" t="str">
            <v>CM DONDE CARO</v>
          </cell>
          <cell r="E845" t="str">
            <v>S</v>
          </cell>
          <cell r="F845" t="str">
            <v>20001</v>
          </cell>
          <cell r="H845" t="str">
            <v>DG 24-63 BL-51 APT 104 URB NANDO MARIN</v>
          </cell>
          <cell r="J845">
            <v>0</v>
          </cell>
          <cell r="L845" t="str">
            <v>10.43530</v>
          </cell>
          <cell r="M845" t="str">
            <v>-73.26352</v>
          </cell>
        </row>
        <row r="846">
          <cell r="C846">
            <v>302485</v>
          </cell>
          <cell r="D846" t="str">
            <v>CM ASHLEY</v>
          </cell>
          <cell r="E846" t="str">
            <v>S</v>
          </cell>
          <cell r="F846" t="str">
            <v>20550</v>
          </cell>
          <cell r="H846" t="str">
            <v>CR 11 # 11-51 BARRIO GAITAN</v>
          </cell>
          <cell r="J846">
            <v>0</v>
          </cell>
          <cell r="L846" t="str">
            <v>8.6918</v>
          </cell>
          <cell r="M846" t="str">
            <v>-73.6680</v>
          </cell>
        </row>
        <row r="847">
          <cell r="C847">
            <v>300810</v>
          </cell>
          <cell r="D847" t="str">
            <v>CM DONDE QUILLA</v>
          </cell>
          <cell r="E847" t="str">
            <v>S</v>
          </cell>
          <cell r="F847" t="str">
            <v>20250</v>
          </cell>
          <cell r="H847" t="str">
            <v>CL 11 CR 5-65 BARRIO COSTA HERMOSA</v>
          </cell>
          <cell r="J847">
            <v>0</v>
          </cell>
          <cell r="L847" t="str">
            <v>9.623866</v>
          </cell>
          <cell r="M847" t="str">
            <v>-73.586365</v>
          </cell>
        </row>
        <row r="848">
          <cell r="C848">
            <v>300865</v>
          </cell>
          <cell r="D848" t="str">
            <v>CM VARIEDADES JAMAICA 2</v>
          </cell>
          <cell r="E848" t="str">
            <v>S</v>
          </cell>
          <cell r="F848" t="str">
            <v>20228</v>
          </cell>
          <cell r="H848" t="str">
            <v xml:space="preserve">CL 1A SUR # 20-60 BARRIO 11 DE NOVIEMBRE </v>
          </cell>
          <cell r="J848">
            <v>0</v>
          </cell>
          <cell r="L848" t="str">
            <v>9.195873</v>
          </cell>
          <cell r="M848" t="str">
            <v>-73.549575</v>
          </cell>
        </row>
        <row r="849">
          <cell r="C849">
            <v>250273</v>
          </cell>
          <cell r="D849" t="str">
            <v>CDA GONZALES</v>
          </cell>
          <cell r="E849" t="str">
            <v>S</v>
          </cell>
          <cell r="F849" t="str">
            <v>20310</v>
          </cell>
          <cell r="H849" t="str">
            <v>KDX C1-200 GONZALES</v>
          </cell>
          <cell r="J849">
            <v>0</v>
          </cell>
          <cell r="L849" t="str">
            <v>9.38158</v>
          </cell>
          <cell r="M849" t="str">
            <v>-73.38279</v>
          </cell>
        </row>
        <row r="850">
          <cell r="C850">
            <v>300386</v>
          </cell>
          <cell r="D850" t="str">
            <v>CM LA COSTEÑA</v>
          </cell>
          <cell r="E850" t="str">
            <v>S</v>
          </cell>
          <cell r="F850" t="str">
            <v>20001</v>
          </cell>
          <cell r="H850" t="str">
            <v>SECTOR 1 MZ 31-14 URB VILLA DARIANA</v>
          </cell>
          <cell r="J850">
            <v>0</v>
          </cell>
          <cell r="L850" t="str">
            <v>10.445750</v>
          </cell>
          <cell r="M850" t="str">
            <v>-73.269955</v>
          </cell>
        </row>
        <row r="851">
          <cell r="C851">
            <v>250355</v>
          </cell>
          <cell r="D851" t="str">
            <v>MOTOCORB</v>
          </cell>
          <cell r="E851" t="str">
            <v>S</v>
          </cell>
          <cell r="F851" t="str">
            <v>20060</v>
          </cell>
          <cell r="H851" t="str">
            <v>CR 18 16-68</v>
          </cell>
          <cell r="J851">
            <v>0</v>
          </cell>
          <cell r="L851" t="str">
            <v>9.9723</v>
          </cell>
          <cell r="M851" t="str">
            <v>-73.8858</v>
          </cell>
        </row>
        <row r="852">
          <cell r="C852">
            <v>250477</v>
          </cell>
          <cell r="D852" t="str">
            <v>CM TIENDA PAU</v>
          </cell>
          <cell r="E852" t="str">
            <v>S</v>
          </cell>
          <cell r="F852" t="str">
            <v>20400</v>
          </cell>
          <cell r="H852" t="str">
            <v>CL 1 SUR 1-146 BARRIO SAN JOSE</v>
          </cell>
          <cell r="J852">
            <v>0</v>
          </cell>
          <cell r="L852" t="str">
            <v>9.55437833</v>
          </cell>
          <cell r="M852" t="str">
            <v>-73.33261833</v>
          </cell>
        </row>
        <row r="853">
          <cell r="C853">
            <v>301244</v>
          </cell>
          <cell r="D853" t="str">
            <v>CM JD MOBIL</v>
          </cell>
          <cell r="E853" t="str">
            <v>S</v>
          </cell>
          <cell r="F853" t="str">
            <v>20550</v>
          </cell>
          <cell r="H853" t="str">
            <v>MZ 7 CS 10 URB TUCERO III</v>
          </cell>
          <cell r="J853">
            <v>0</v>
          </cell>
          <cell r="L853" t="str">
            <v>8.6979</v>
          </cell>
          <cell r="M853" t="str">
            <v>-73.6686</v>
          </cell>
        </row>
        <row r="854">
          <cell r="C854">
            <v>300904</v>
          </cell>
          <cell r="D854" t="str">
            <v>CM TIENDA MI BARRIO</v>
          </cell>
          <cell r="E854" t="str">
            <v>S</v>
          </cell>
          <cell r="F854" t="str">
            <v>20550</v>
          </cell>
          <cell r="H854" t="str">
            <v xml:space="preserve">MZ 8 CS 10 URB TRES MARIAS </v>
          </cell>
          <cell r="J854">
            <v>0</v>
          </cell>
          <cell r="L854" t="str">
            <v>8.6996124</v>
          </cell>
          <cell r="M854" t="str">
            <v>-73.6710524</v>
          </cell>
        </row>
        <row r="855">
          <cell r="C855">
            <v>300987</v>
          </cell>
          <cell r="D855" t="str">
            <v>CM VARIEDADES NICO 1</v>
          </cell>
          <cell r="E855" t="str">
            <v>S</v>
          </cell>
          <cell r="F855" t="str">
            <v>20238</v>
          </cell>
          <cell r="H855" t="str">
            <v>CL 7 #27-28 BR LA ESPERANZA</v>
          </cell>
          <cell r="J855">
            <v>0</v>
          </cell>
          <cell r="L855" t="str">
            <v>10.143376</v>
          </cell>
          <cell r="M855" t="str">
            <v>-73.96696</v>
          </cell>
        </row>
        <row r="856">
          <cell r="C856">
            <v>300989</v>
          </cell>
          <cell r="D856" t="str">
            <v>CM LA 44</v>
          </cell>
          <cell r="E856" t="str">
            <v>S</v>
          </cell>
          <cell r="F856" t="str">
            <v>20001</v>
          </cell>
          <cell r="H856" t="str">
            <v>CL 44 #19-14 BR CASA CARMELO</v>
          </cell>
          <cell r="J856">
            <v>0</v>
          </cell>
          <cell r="L856" t="str">
            <v>10.4459683</v>
          </cell>
          <cell r="M856" t="str">
            <v>-73.2456850</v>
          </cell>
        </row>
        <row r="857">
          <cell r="C857">
            <v>301245</v>
          </cell>
          <cell r="D857" t="str">
            <v>CM JAIMES</v>
          </cell>
          <cell r="E857" t="str">
            <v>S</v>
          </cell>
          <cell r="F857" t="str">
            <v>20517</v>
          </cell>
          <cell r="H857" t="str">
            <v>CL 3 CR 10-06 BRR LA ESPERANZA</v>
          </cell>
          <cell r="J857">
            <v>0</v>
          </cell>
          <cell r="L857" t="str">
            <v>8.95702802</v>
          </cell>
          <cell r="M857" t="str">
            <v>-73.62761588</v>
          </cell>
        </row>
        <row r="858">
          <cell r="C858">
            <v>47960</v>
          </cell>
          <cell r="D858" t="str">
            <v>CM MARMOLINDA</v>
          </cell>
          <cell r="E858" t="str">
            <v>S</v>
          </cell>
          <cell r="F858" t="str">
            <v>20001</v>
          </cell>
          <cell r="H858" t="str">
            <v>CL 20B # 18A-81 BARRIO PABLO VI</v>
          </cell>
          <cell r="J858">
            <v>0</v>
          </cell>
          <cell r="L858" t="str">
            <v>10.46446439</v>
          </cell>
          <cell r="M858" t="str">
            <v>-73.25086015</v>
          </cell>
        </row>
        <row r="859">
          <cell r="C859">
            <v>300849</v>
          </cell>
          <cell r="D859" t="str">
            <v>CM SHALOM</v>
          </cell>
          <cell r="E859" t="str">
            <v>S</v>
          </cell>
          <cell r="F859" t="str">
            <v>20011</v>
          </cell>
          <cell r="H859" t="str">
            <v>CR 49 # 9A N 58 BARRIO EL TESORO</v>
          </cell>
          <cell r="J859">
            <v>0</v>
          </cell>
          <cell r="L859" t="str">
            <v>8.31979</v>
          </cell>
          <cell r="M859" t="str">
            <v>-73.58988</v>
          </cell>
        </row>
        <row r="860">
          <cell r="C860">
            <v>301279</v>
          </cell>
          <cell r="D860" t="str">
            <v>CM TIENDA CENTRAL</v>
          </cell>
          <cell r="E860" t="str">
            <v>S</v>
          </cell>
          <cell r="F860" t="str">
            <v>20238</v>
          </cell>
          <cell r="H860" t="str">
            <v>CL 2 1A-84 BRR SAN FRANCISCO DE ASIS</v>
          </cell>
          <cell r="J860">
            <v>0</v>
          </cell>
          <cell r="L860" t="str">
            <v>10.28811</v>
          </cell>
          <cell r="M860" t="str">
            <v>-73.892336</v>
          </cell>
        </row>
        <row r="861">
          <cell r="C861">
            <v>301459</v>
          </cell>
          <cell r="D861" t="str">
            <v>CM VARIEDADES LA BENDICION</v>
          </cell>
          <cell r="E861" t="str">
            <v>S</v>
          </cell>
          <cell r="F861" t="str">
            <v>20001</v>
          </cell>
          <cell r="H861" t="str">
            <v>CL 8 #21-6 APTO 2 BRR LA ESPERANZA</v>
          </cell>
          <cell r="J861">
            <v>0</v>
          </cell>
          <cell r="L861" t="str">
            <v>10.47690774</v>
          </cell>
          <cell r="M861" t="str">
            <v>-73.26830693</v>
          </cell>
        </row>
        <row r="862">
          <cell r="C862">
            <v>301278</v>
          </cell>
          <cell r="D862" t="str">
            <v>CM CRISOL YIRETH</v>
          </cell>
          <cell r="E862" t="str">
            <v>S</v>
          </cell>
          <cell r="F862" t="str">
            <v>20400</v>
          </cell>
          <cell r="H862" t="str">
            <v xml:space="preserve">TRANSV 19 DIAG 502-17 BARRIO 17 DE FEBRERO </v>
          </cell>
          <cell r="J862">
            <v>0</v>
          </cell>
          <cell r="L862" t="str">
            <v>9.568235</v>
          </cell>
          <cell r="M862" t="str">
            <v>-73.330746</v>
          </cell>
        </row>
        <row r="863">
          <cell r="C863">
            <v>301537</v>
          </cell>
          <cell r="D863" t="str">
            <v xml:space="preserve">CM SANDRA CH </v>
          </cell>
          <cell r="E863" t="str">
            <v>S</v>
          </cell>
          <cell r="F863" t="str">
            <v>20175</v>
          </cell>
          <cell r="H863" t="str">
            <v xml:space="preserve">KR 7 #7-26 APTO 1 BRR CENTRO </v>
          </cell>
          <cell r="J863">
            <v>0</v>
          </cell>
          <cell r="L863" t="str">
            <v>9.2566</v>
          </cell>
          <cell r="M863" t="str">
            <v>-73.8138</v>
          </cell>
        </row>
        <row r="864">
          <cell r="C864">
            <v>47971</v>
          </cell>
          <cell r="D864" t="str">
            <v>CM PUNTO CENTRAL 2</v>
          </cell>
          <cell r="E864" t="str">
            <v>S</v>
          </cell>
          <cell r="F864" t="str">
            <v>20250</v>
          </cell>
          <cell r="H864" t="str">
            <v>CL 4 CR 4-3 APTO 1 / CENTRO</v>
          </cell>
          <cell r="J864">
            <v>0</v>
          </cell>
          <cell r="L864" t="str">
            <v>9.1699</v>
          </cell>
          <cell r="M864" t="str">
            <v>-73.5934</v>
          </cell>
        </row>
        <row r="865">
          <cell r="C865">
            <v>301461</v>
          </cell>
          <cell r="D865" t="str">
            <v>CM LAS DELICIAS 1</v>
          </cell>
          <cell r="E865" t="str">
            <v>S</v>
          </cell>
          <cell r="F865" t="str">
            <v>20238</v>
          </cell>
          <cell r="H865" t="str">
            <v xml:space="preserve">CL 15 #20-45 BRR LAS DELICIAS </v>
          </cell>
          <cell r="J865">
            <v>0</v>
          </cell>
          <cell r="L865" t="str">
            <v>10.152185</v>
          </cell>
          <cell r="M865" t="str">
            <v>-73.9661366</v>
          </cell>
        </row>
        <row r="866">
          <cell r="C866">
            <v>300851</v>
          </cell>
          <cell r="D866" t="str">
            <v>CM VARIEDADES SAGESHA</v>
          </cell>
          <cell r="E866" t="str">
            <v>S</v>
          </cell>
          <cell r="F866" t="str">
            <v>20045</v>
          </cell>
          <cell r="H866" t="str">
            <v>CR 26 # 5-70 BARRIO MOCHILANGA</v>
          </cell>
          <cell r="J866">
            <v>0</v>
          </cell>
          <cell r="L866" t="str">
            <v>9.70378</v>
          </cell>
          <cell r="M866" t="str">
            <v>-73.26799</v>
          </cell>
        </row>
        <row r="867">
          <cell r="C867">
            <v>301460</v>
          </cell>
          <cell r="D867" t="str">
            <v>CM BETICOS MEMORIES</v>
          </cell>
          <cell r="E867" t="str">
            <v>S</v>
          </cell>
          <cell r="F867" t="str">
            <v>20710</v>
          </cell>
          <cell r="H867" t="str">
            <v>CR 8 #2B-06 BRR VILLA FANNY</v>
          </cell>
          <cell r="J867">
            <v>0</v>
          </cell>
          <cell r="L867" t="str">
            <v>7.7574018</v>
          </cell>
          <cell r="M867" t="str">
            <v>-73.3954395</v>
          </cell>
        </row>
        <row r="868">
          <cell r="C868">
            <v>301277</v>
          </cell>
          <cell r="D868" t="str">
            <v xml:space="preserve">CM VARIEDADES JR </v>
          </cell>
          <cell r="E868" t="str">
            <v>S</v>
          </cell>
          <cell r="F868" t="str">
            <v>20238</v>
          </cell>
          <cell r="H868" t="str">
            <v xml:space="preserve">CL 21 #19-35 BARRIO SAN TORO </v>
          </cell>
          <cell r="J868">
            <v>0</v>
          </cell>
          <cell r="L868" t="str">
            <v>10.156746</v>
          </cell>
          <cell r="M868" t="str">
            <v>-73.96708</v>
          </cell>
        </row>
        <row r="869">
          <cell r="C869">
            <v>250411</v>
          </cell>
          <cell r="D869" t="str">
            <v>CM EL PUERTO GAMARRA</v>
          </cell>
          <cell r="E869" t="str">
            <v>S</v>
          </cell>
          <cell r="F869" t="str">
            <v>20295</v>
          </cell>
          <cell r="H869" t="str">
            <v>CL 4A # 3-20 BARRIO COMERCIO</v>
          </cell>
          <cell r="J869">
            <v>0</v>
          </cell>
          <cell r="L869" t="str">
            <v>8.31933</v>
          </cell>
          <cell r="M869" t="str">
            <v>-73.74508</v>
          </cell>
        </row>
        <row r="870">
          <cell r="C870">
            <v>301667</v>
          </cell>
          <cell r="D870" t="str">
            <v>CM 4 ESQUINAS</v>
          </cell>
          <cell r="E870" t="str">
            <v>S</v>
          </cell>
          <cell r="F870" t="str">
            <v>20238</v>
          </cell>
          <cell r="H870" t="str">
            <v>CR 14 # 6-25 BARRIO LAS FLORES</v>
          </cell>
          <cell r="J870">
            <v>0</v>
          </cell>
          <cell r="L870" t="str">
            <v>10.148408333</v>
          </cell>
          <cell r="M870" t="str">
            <v>-73.95885166</v>
          </cell>
        </row>
        <row r="871">
          <cell r="C871">
            <v>300150</v>
          </cell>
          <cell r="D871" t="str">
            <v>CM VARIEDADES LOS YEI</v>
          </cell>
          <cell r="E871" t="str">
            <v>S</v>
          </cell>
          <cell r="F871" t="str">
            <v>20001</v>
          </cell>
          <cell r="H871" t="str">
            <v>SECTOR 1 MZ D CASA 12  URB LA PRIMAVERA</v>
          </cell>
          <cell r="J871">
            <v>0</v>
          </cell>
          <cell r="L871" t="str">
            <v>10.42924984</v>
          </cell>
          <cell r="M871" t="str">
            <v>-73.25514613</v>
          </cell>
        </row>
        <row r="872">
          <cell r="C872">
            <v>300053</v>
          </cell>
          <cell r="D872" t="str">
            <v>CM PAPELERIA YENIS</v>
          </cell>
          <cell r="E872" t="str">
            <v>S</v>
          </cell>
          <cell r="F872" t="str">
            <v>20400</v>
          </cell>
          <cell r="H872" t="str">
            <v>DG 7 # 12-24 BARRIO JUAN RAMON</v>
          </cell>
          <cell r="J872">
            <v>0</v>
          </cell>
          <cell r="L872" t="str">
            <v>9.566661</v>
          </cell>
          <cell r="M872" t="str">
            <v>-73.34022349</v>
          </cell>
        </row>
        <row r="873">
          <cell r="C873">
            <v>300786</v>
          </cell>
          <cell r="D873" t="str">
            <v>CM CORTINAS DE GARCES</v>
          </cell>
          <cell r="E873" t="str">
            <v>S</v>
          </cell>
          <cell r="F873" t="str">
            <v>20011</v>
          </cell>
          <cell r="H873" t="str">
            <v xml:space="preserve">CR 40 # 9AN-95 </v>
          </cell>
          <cell r="J873">
            <v>0</v>
          </cell>
          <cell r="L873" t="str">
            <v>8.31984</v>
          </cell>
          <cell r="M873" t="str">
            <v>-73.59632</v>
          </cell>
        </row>
        <row r="874">
          <cell r="C874">
            <v>47736</v>
          </cell>
          <cell r="D874" t="str">
            <v>CM LORENA</v>
          </cell>
          <cell r="E874" t="str">
            <v>S</v>
          </cell>
          <cell r="F874" t="str">
            <v>20621</v>
          </cell>
          <cell r="H874" t="str">
            <v>CL 6 # 6-42 CENTRO</v>
          </cell>
          <cell r="J874">
            <v>0</v>
          </cell>
          <cell r="L874" t="str">
            <v>10.386765</v>
          </cell>
          <cell r="M874" t="str">
            <v>-73.170678</v>
          </cell>
        </row>
        <row r="875">
          <cell r="C875">
            <v>300049</v>
          </cell>
          <cell r="D875" t="str">
            <v>CM TIENDA ANA TORRES</v>
          </cell>
          <cell r="E875" t="str">
            <v>S</v>
          </cell>
          <cell r="F875" t="str">
            <v>20060</v>
          </cell>
          <cell r="H875" t="str">
            <v>KR 3 CL 6-92 LOCALIDAD EL PERRO</v>
          </cell>
          <cell r="J875">
            <v>0</v>
          </cell>
          <cell r="L875" t="str">
            <v>9.96236333</v>
          </cell>
          <cell r="M875" t="str">
            <v>-73.679466</v>
          </cell>
        </row>
        <row r="876">
          <cell r="C876">
            <v>301517</v>
          </cell>
          <cell r="D876" t="str">
            <v>CM MARY</v>
          </cell>
          <cell r="E876" t="str">
            <v>S</v>
          </cell>
          <cell r="F876" t="str">
            <v>20178</v>
          </cell>
          <cell r="H876" t="str">
            <v>CR 6 #8A-57 APTO 1 BRR PESCAITO</v>
          </cell>
          <cell r="J876">
            <v>0</v>
          </cell>
          <cell r="L876" t="str">
            <v>9.36478873</v>
          </cell>
          <cell r="M876" t="str">
            <v>-73.6005898</v>
          </cell>
        </row>
        <row r="877">
          <cell r="C877">
            <v>250046</v>
          </cell>
          <cell r="D877" t="str">
            <v>CM CENTRO RINCON HONDO</v>
          </cell>
          <cell r="E877" t="str">
            <v>S</v>
          </cell>
          <cell r="F877" t="str">
            <v>20178</v>
          </cell>
          <cell r="H877" t="str">
            <v>CR 7 CR 4-79 RINCON HONDO</v>
          </cell>
          <cell r="J877">
            <v>0</v>
          </cell>
          <cell r="L877" t="str">
            <v>9.394511</v>
          </cell>
          <cell r="M877" t="str">
            <v>-73.487118</v>
          </cell>
        </row>
        <row r="878">
          <cell r="C878">
            <v>300808</v>
          </cell>
          <cell r="D878" t="str">
            <v>CM EL JORDAN</v>
          </cell>
          <cell r="E878" t="str">
            <v>S</v>
          </cell>
          <cell r="F878" t="str">
            <v>20250</v>
          </cell>
          <cell r="H878" t="str">
            <v>CR 13A CL CL 13A - 72 BARRIO SAN MARCOS</v>
          </cell>
          <cell r="J878">
            <v>0</v>
          </cell>
          <cell r="L878" t="str">
            <v>9.624216</v>
          </cell>
          <cell r="M878" t="str">
            <v>-73.599003</v>
          </cell>
        </row>
        <row r="879">
          <cell r="C879">
            <v>300278</v>
          </cell>
          <cell r="D879" t="str">
            <v>CM LA YE2</v>
          </cell>
          <cell r="E879" t="str">
            <v>S</v>
          </cell>
          <cell r="F879" t="str">
            <v>20032</v>
          </cell>
          <cell r="H879" t="str">
            <v>CL 3 CR 5-38 BARRIO LA YE</v>
          </cell>
          <cell r="J879">
            <v>0</v>
          </cell>
          <cell r="L879" t="str">
            <v>9.557560</v>
          </cell>
          <cell r="M879" t="str">
            <v>-73.907742</v>
          </cell>
        </row>
        <row r="880">
          <cell r="C880">
            <v>300165</v>
          </cell>
          <cell r="D880" t="str">
            <v>CM LUZ</v>
          </cell>
          <cell r="E880" t="str">
            <v>S</v>
          </cell>
          <cell r="F880" t="str">
            <v>20001</v>
          </cell>
          <cell r="H880" t="str">
            <v>CRT VIA A LA MESA KM 14-270 LA MESA</v>
          </cell>
          <cell r="J880">
            <v>0</v>
          </cell>
          <cell r="L880" t="str">
            <v>10.43363</v>
          </cell>
          <cell r="M880" t="str">
            <v>-73.38850</v>
          </cell>
        </row>
        <row r="881">
          <cell r="C881">
            <v>300166</v>
          </cell>
          <cell r="D881" t="str">
            <v>CM DETO RH</v>
          </cell>
          <cell r="E881" t="str">
            <v>S</v>
          </cell>
          <cell r="F881" t="str">
            <v>20178</v>
          </cell>
          <cell r="H881" t="str">
            <v>CR 6 CL 2-145 RINCON HONDON RURAL</v>
          </cell>
          <cell r="J881">
            <v>0</v>
          </cell>
          <cell r="L881" t="str">
            <v>9.39135666</v>
          </cell>
          <cell r="M881" t="str">
            <v>-73.489035</v>
          </cell>
        </row>
        <row r="882">
          <cell r="C882">
            <v>301005</v>
          </cell>
          <cell r="D882" t="str">
            <v>CM LUCY</v>
          </cell>
          <cell r="E882" t="str">
            <v>S</v>
          </cell>
          <cell r="F882" t="str">
            <v>20178</v>
          </cell>
          <cell r="H882" t="str">
            <v>CL 13 #2-35 BARRIO CALIXTO OYAGA</v>
          </cell>
          <cell r="J882">
            <v>0</v>
          </cell>
          <cell r="L882" t="str">
            <v>9.3678531143</v>
          </cell>
          <cell r="M882" t="str">
            <v>-73.6065492</v>
          </cell>
        </row>
        <row r="883">
          <cell r="C883">
            <v>47381</v>
          </cell>
          <cell r="D883" t="str">
            <v xml:space="preserve">TAT LA MEZA </v>
          </cell>
          <cell r="E883" t="str">
            <v>S</v>
          </cell>
          <cell r="F883" t="str">
            <v>20001</v>
          </cell>
          <cell r="H883" t="str">
            <v>CORREGIMIENTO/BARRIO LA FLORESTA</v>
          </cell>
          <cell r="J883">
            <v>0</v>
          </cell>
          <cell r="L883" t="str">
            <v>10.434143</v>
          </cell>
          <cell r="M883" t="str">
            <v>-73.391804</v>
          </cell>
        </row>
        <row r="884">
          <cell r="C884">
            <v>301004</v>
          </cell>
          <cell r="D884" t="str">
            <v xml:space="preserve">CM LAS TABLITAS </v>
          </cell>
          <cell r="E884" t="str">
            <v>S</v>
          </cell>
          <cell r="F884" t="str">
            <v>20013</v>
          </cell>
          <cell r="H884" t="str">
            <v>CL 12 CS 85 BARRIO LAS TABLITAS</v>
          </cell>
          <cell r="J884">
            <v>0</v>
          </cell>
          <cell r="L884" t="str">
            <v>10.03281</v>
          </cell>
          <cell r="M884" t="str">
            <v>-73.22629</v>
          </cell>
        </row>
        <row r="885">
          <cell r="C885">
            <v>302321</v>
          </cell>
          <cell r="D885" t="str">
            <v>CM MARY</v>
          </cell>
          <cell r="E885" t="str">
            <v>S</v>
          </cell>
          <cell r="F885" t="str">
            <v>20250</v>
          </cell>
          <cell r="H885" t="str">
            <v>CR 18 # 12-45 BARRIO LA FERIA</v>
          </cell>
          <cell r="J885">
            <v>0</v>
          </cell>
          <cell r="L885" t="str">
            <v>9.61803833</v>
          </cell>
          <cell r="M885" t="str">
            <v>-73.60733499</v>
          </cell>
        </row>
        <row r="886">
          <cell r="C886">
            <v>302178</v>
          </cell>
          <cell r="D886" t="str">
            <v>CM JOSUE</v>
          </cell>
          <cell r="E886" t="str">
            <v>S</v>
          </cell>
          <cell r="F886" t="str">
            <v>20045</v>
          </cell>
          <cell r="H886" t="str">
            <v>CR 5 CL 6-32 BARRIO TRUJILLO</v>
          </cell>
          <cell r="J886">
            <v>0</v>
          </cell>
          <cell r="L886" t="str">
            <v>9.70472</v>
          </cell>
          <cell r="M886" t="str">
            <v>-73.28065</v>
          </cell>
        </row>
        <row r="887">
          <cell r="C887">
            <v>302180</v>
          </cell>
          <cell r="D887" t="str">
            <v>CM DROGUERIA FARMA PLUS</v>
          </cell>
          <cell r="E887" t="str">
            <v>S</v>
          </cell>
          <cell r="F887" t="str">
            <v>20001</v>
          </cell>
          <cell r="H887" t="str">
            <v>CL 44 CR 5C-43 BARRIO SAN FERNANDO</v>
          </cell>
          <cell r="J887">
            <v>0</v>
          </cell>
          <cell r="L887" t="str">
            <v>10.44645711</v>
          </cell>
          <cell r="M887" t="str">
            <v>-73.23946279</v>
          </cell>
        </row>
        <row r="888">
          <cell r="C888">
            <v>302322</v>
          </cell>
          <cell r="D888" t="str">
            <v>CM LA CAMPESINA</v>
          </cell>
          <cell r="E888" t="str">
            <v>S</v>
          </cell>
          <cell r="F888" t="str">
            <v>20238</v>
          </cell>
          <cell r="H888" t="str">
            <v>CR 11 CL 2-62 BARRIO VILLA LIKE</v>
          </cell>
          <cell r="J888">
            <v>0</v>
          </cell>
          <cell r="L888" t="str">
            <v>10.19257483</v>
          </cell>
          <cell r="M888" t="str">
            <v>-73.97274021</v>
          </cell>
        </row>
        <row r="889">
          <cell r="C889">
            <v>302179</v>
          </cell>
          <cell r="D889" t="str">
            <v>CM MISCELANEA FRANCI</v>
          </cell>
          <cell r="E889" t="str">
            <v>S</v>
          </cell>
          <cell r="F889" t="str">
            <v>20228</v>
          </cell>
          <cell r="H889" t="str">
            <v>CL 2 # 5-30 SABANA GRANDE</v>
          </cell>
          <cell r="J889">
            <v>0</v>
          </cell>
          <cell r="L889" t="str">
            <v>9.199452</v>
          </cell>
          <cell r="M889" t="str">
            <v>-73.611892</v>
          </cell>
        </row>
        <row r="890">
          <cell r="C890">
            <v>47735</v>
          </cell>
          <cell r="D890" t="str">
            <v>CM DANERIS</v>
          </cell>
          <cell r="E890" t="str">
            <v>S</v>
          </cell>
          <cell r="F890" t="str">
            <v>20621</v>
          </cell>
          <cell r="H890" t="str">
            <v>CL 8 # 9A-61 BARRIO LAS FLORES</v>
          </cell>
          <cell r="J890">
            <v>0</v>
          </cell>
          <cell r="L890" t="str">
            <v>10.387125</v>
          </cell>
          <cell r="M890" t="str">
            <v>-73.166150</v>
          </cell>
        </row>
        <row r="891">
          <cell r="C891">
            <v>301193</v>
          </cell>
          <cell r="D891" t="str">
            <v>CM ROCHACELL</v>
          </cell>
          <cell r="E891" t="str">
            <v>S</v>
          </cell>
          <cell r="F891" t="str">
            <v>20001</v>
          </cell>
          <cell r="H891" t="str">
            <v xml:space="preserve">SECTOR 1 MZ I-748 BRR NUEVO MILENIO </v>
          </cell>
          <cell r="J891">
            <v>0</v>
          </cell>
          <cell r="L891" t="str">
            <v>10.448005</v>
          </cell>
          <cell r="M891" t="str">
            <v>-73.256420</v>
          </cell>
        </row>
        <row r="892">
          <cell r="C892">
            <v>300764</v>
          </cell>
          <cell r="D892" t="str">
            <v>CM YAIRINYS 2</v>
          </cell>
          <cell r="E892" t="str">
            <v>S</v>
          </cell>
          <cell r="F892" t="str">
            <v>20295</v>
          </cell>
          <cell r="H892" t="str">
            <v>CL 5B # 6-64 BARRIO LAS FERIAS</v>
          </cell>
          <cell r="J892">
            <v>0</v>
          </cell>
          <cell r="L892" t="str">
            <v>8.30860</v>
          </cell>
          <cell r="M892" t="str">
            <v>-73.62803</v>
          </cell>
        </row>
        <row r="893">
          <cell r="C893">
            <v>300375</v>
          </cell>
          <cell r="D893" t="str">
            <v>PDV BLUELINK</v>
          </cell>
          <cell r="E893" t="str">
            <v>S</v>
          </cell>
          <cell r="F893" t="str">
            <v>20001</v>
          </cell>
          <cell r="J893">
            <v>0</v>
          </cell>
        </row>
        <row r="894">
          <cell r="C894">
            <v>301511</v>
          </cell>
          <cell r="D894" t="str">
            <v>CM DARY</v>
          </cell>
          <cell r="E894" t="str">
            <v>S</v>
          </cell>
          <cell r="F894" t="str">
            <v>20621</v>
          </cell>
          <cell r="H894" t="str">
            <v>CR 9A 1N-32 BRR 7 DE JULIO</v>
          </cell>
          <cell r="J894">
            <v>0</v>
          </cell>
          <cell r="L894" t="str">
            <v>10.3914</v>
          </cell>
          <cell r="M894" t="str">
            <v>-73.1730</v>
          </cell>
        </row>
        <row r="895">
          <cell r="C895">
            <v>47545</v>
          </cell>
          <cell r="D895" t="str">
            <v>CM EL SUERTE 3</v>
          </cell>
          <cell r="E895" t="str">
            <v>S</v>
          </cell>
          <cell r="F895" t="str">
            <v>20001</v>
          </cell>
          <cell r="H895" t="str">
            <v>CR 18D # 24-14 BARRIO SIMON BOLIVAR</v>
          </cell>
          <cell r="J895">
            <v>0</v>
          </cell>
          <cell r="L895" t="str">
            <v>10.45908</v>
          </cell>
          <cell r="M895" t="str">
            <v>-73.24979</v>
          </cell>
        </row>
        <row r="896">
          <cell r="C896">
            <v>17131</v>
          </cell>
          <cell r="D896" t="str">
            <v>CM PALENQUILLO</v>
          </cell>
          <cell r="E896" t="str">
            <v>S</v>
          </cell>
          <cell r="F896" t="str">
            <v>20295</v>
          </cell>
          <cell r="G896" t="str">
            <v xml:space="preserve">CM </v>
          </cell>
          <cell r="H896" t="str">
            <v>OT||||||||||||||KDX 88</v>
          </cell>
          <cell r="J896">
            <v>120523</v>
          </cell>
          <cell r="L896" t="str">
            <v>8.44294</v>
          </cell>
          <cell r="M896" t="str">
            <v>-73.73029</v>
          </cell>
        </row>
        <row r="897">
          <cell r="C897">
            <v>20330</v>
          </cell>
          <cell r="D897" t="str">
            <v>PDV BAJA SUAVE</v>
          </cell>
          <cell r="E897" t="str">
            <v>S</v>
          </cell>
          <cell r="F897" t="str">
            <v>20750</v>
          </cell>
          <cell r="G897" t="str">
            <v xml:space="preserve">PDV </v>
          </cell>
          <cell r="H897" t="str">
            <v>CL||3|||||#|10|A|-|75|||</v>
          </cell>
          <cell r="J897">
            <v>120523</v>
          </cell>
          <cell r="L897" t="str">
            <v>10.331605</v>
          </cell>
          <cell r="M897" t="str">
            <v>-73.181633</v>
          </cell>
        </row>
        <row r="898">
          <cell r="C898">
            <v>17373</v>
          </cell>
          <cell r="D898" t="str">
            <v>PDV BADILLO</v>
          </cell>
          <cell r="E898" t="str">
            <v>S</v>
          </cell>
          <cell r="F898" t="str">
            <v>20001</v>
          </cell>
          <cell r="G898" t="str">
            <v xml:space="preserve">PDV </v>
          </cell>
          <cell r="H898" t="str">
            <v>CALLE 3 KRA 3 - 55 BADILLO</v>
          </cell>
          <cell r="J898">
            <v>0</v>
          </cell>
          <cell r="L898" t="str">
            <v>10.6298</v>
          </cell>
          <cell r="M898" t="str">
            <v>-73.1287</v>
          </cell>
        </row>
        <row r="899">
          <cell r="C899">
            <v>18129</v>
          </cell>
          <cell r="D899" t="str">
            <v>RECAUDO MOVIL CODAZZI</v>
          </cell>
          <cell r="E899" t="str">
            <v>S</v>
          </cell>
          <cell r="F899" t="str">
            <v>20013</v>
          </cell>
          <cell r="H899" t="str">
            <v>CL||17|||||#|15||-|111|||</v>
          </cell>
          <cell r="J899">
            <v>0</v>
          </cell>
        </row>
        <row r="900">
          <cell r="C900">
            <v>21973</v>
          </cell>
          <cell r="D900" t="str">
            <v>CM SAY YOYO</v>
          </cell>
          <cell r="E900" t="str">
            <v>S</v>
          </cell>
          <cell r="F900" t="str">
            <v>20001</v>
          </cell>
          <cell r="G900" t="str">
            <v xml:space="preserve">CM </v>
          </cell>
          <cell r="H900" t="str">
            <v>CR||1|D||||#|13|B|-|99|||</v>
          </cell>
          <cell r="J900">
            <v>120523</v>
          </cell>
          <cell r="L900" t="str">
            <v>10.481609</v>
          </cell>
          <cell r="M900" t="str">
            <v>-73.243069</v>
          </cell>
        </row>
        <row r="901">
          <cell r="C901">
            <v>39817</v>
          </cell>
          <cell r="D901" t="str">
            <v xml:space="preserve">PDV ARJONA CENTRAL </v>
          </cell>
          <cell r="E901" t="str">
            <v>S</v>
          </cell>
          <cell r="F901" t="str">
            <v>20032</v>
          </cell>
          <cell r="G901" t="str">
            <v xml:space="preserve">PDV </v>
          </cell>
          <cell r="H901" t="str">
            <v>CL||4|||||#|4||-|59|||</v>
          </cell>
          <cell r="J901">
            <v>120523</v>
          </cell>
          <cell r="L901" t="str">
            <v>9.5361</v>
          </cell>
          <cell r="M901" t="str">
            <v>-73.9116</v>
          </cell>
        </row>
        <row r="902">
          <cell r="C902">
            <v>40331</v>
          </cell>
          <cell r="D902" t="str">
            <v>CM SEMPEGUA</v>
          </cell>
          <cell r="E902" t="str">
            <v>S</v>
          </cell>
          <cell r="F902" t="str">
            <v>20175</v>
          </cell>
          <cell r="G902" t="str">
            <v xml:space="preserve">CM </v>
          </cell>
          <cell r="H902" t="str">
            <v>CR||2|||||#|2||-|47|||</v>
          </cell>
          <cell r="J902">
            <v>120523</v>
          </cell>
          <cell r="L902" t="str">
            <v>9.164983</v>
          </cell>
          <cell r="M902" t="str">
            <v>-73.83784</v>
          </cell>
        </row>
        <row r="903">
          <cell r="C903">
            <v>40063</v>
          </cell>
          <cell r="D903" t="str">
            <v>CM LA CRECIENTE</v>
          </cell>
          <cell r="E903" t="str">
            <v>S</v>
          </cell>
          <cell r="F903" t="str">
            <v>20001</v>
          </cell>
          <cell r="G903" t="str">
            <v xml:space="preserve">CM </v>
          </cell>
          <cell r="H903" t="str">
            <v>OT||||||||||||||DG 24N 63  BL K  AP 104</v>
          </cell>
          <cell r="J903">
            <v>120523</v>
          </cell>
          <cell r="L903" t="str">
            <v>10.435802</v>
          </cell>
          <cell r="M903" t="str">
            <v>-73.264485</v>
          </cell>
        </row>
        <row r="904">
          <cell r="C904">
            <v>40641</v>
          </cell>
          <cell r="D904" t="str">
            <v xml:space="preserve">CM MOSQUITO 2 </v>
          </cell>
          <cell r="E904" t="str">
            <v>S</v>
          </cell>
          <cell r="F904" t="str">
            <v>20295</v>
          </cell>
          <cell r="G904" t="str">
            <v xml:space="preserve">CM </v>
          </cell>
          <cell r="H904" t="str">
            <v>OT||||||||||||||KDX 36 - 3 PARAISO</v>
          </cell>
          <cell r="J904">
            <v>120523</v>
          </cell>
          <cell r="L904" t="str">
            <v>8.1874966</v>
          </cell>
          <cell r="M904" t="str">
            <v>-73.754926</v>
          </cell>
        </row>
        <row r="905">
          <cell r="C905">
            <v>40510</v>
          </cell>
          <cell r="D905" t="str">
            <v xml:space="preserve">CM MERK MAS </v>
          </cell>
          <cell r="E905" t="str">
            <v>S</v>
          </cell>
          <cell r="F905" t="str">
            <v>20228</v>
          </cell>
          <cell r="G905" t="str">
            <v xml:space="preserve">CM </v>
          </cell>
          <cell r="H905" t="str">
            <v>CR||16|||||#|13||-|21|||</v>
          </cell>
          <cell r="J905">
            <v>120523</v>
          </cell>
          <cell r="L905" t="str">
            <v>9.205821</v>
          </cell>
          <cell r="M905" t="str">
            <v>-73.541735</v>
          </cell>
        </row>
        <row r="906">
          <cell r="C906">
            <v>40640</v>
          </cell>
          <cell r="D906" t="str">
            <v xml:space="preserve">CM LA PISTA </v>
          </cell>
          <cell r="E906" t="str">
            <v>S</v>
          </cell>
          <cell r="F906" t="str">
            <v>20621</v>
          </cell>
          <cell r="G906" t="str">
            <v xml:space="preserve">CM </v>
          </cell>
          <cell r="H906" t="str">
            <v>OT||||||||||||||MZ4 CA5 COMUNIDADHIPODROM</v>
          </cell>
          <cell r="J906">
            <v>120523</v>
          </cell>
          <cell r="L906" t="str">
            <v>10.38124</v>
          </cell>
          <cell r="M906" t="str">
            <v>-73.176713</v>
          </cell>
        </row>
        <row r="907">
          <cell r="C907">
            <v>46685</v>
          </cell>
          <cell r="D907" t="str">
            <v>CM EL BALLITO</v>
          </cell>
          <cell r="E907" t="str">
            <v>S</v>
          </cell>
          <cell r="F907" t="str">
            <v>20250</v>
          </cell>
          <cell r="H907" t="str">
            <v>CL 2 CRA 7-57 VEREDA EL BALLITO</v>
          </cell>
          <cell r="J907">
            <v>0</v>
          </cell>
          <cell r="L907" t="str">
            <v>9.827800</v>
          </cell>
          <cell r="M907" t="str">
            <v>-73.650300</v>
          </cell>
        </row>
        <row r="908">
          <cell r="C908">
            <v>46209</v>
          </cell>
          <cell r="D908" t="str">
            <v>PDV EL BOMBAZO</v>
          </cell>
          <cell r="E908" t="str">
            <v>S</v>
          </cell>
          <cell r="F908" t="str">
            <v>20001</v>
          </cell>
          <cell r="H908" t="str">
            <v>CL||6|||||#|41||-|73|||</v>
          </cell>
          <cell r="J908">
            <v>260523</v>
          </cell>
          <cell r="L908" t="str">
            <v>10.477359</v>
          </cell>
          <cell r="M908" t="str">
            <v>-73.28194</v>
          </cell>
        </row>
        <row r="909">
          <cell r="C909">
            <v>44818</v>
          </cell>
          <cell r="D909" t="str">
            <v xml:space="preserve">TAT EL CHICHI </v>
          </cell>
          <cell r="E909" t="str">
            <v>S</v>
          </cell>
          <cell r="F909" t="str">
            <v>20228</v>
          </cell>
          <cell r="H909" t="str">
            <v>CL||11|||||#|21||-|111|||</v>
          </cell>
          <cell r="J909">
            <v>120523</v>
          </cell>
          <cell r="L909" t="str">
            <v>9.200908</v>
          </cell>
          <cell r="M909" t="str">
            <v>-73.544103</v>
          </cell>
        </row>
        <row r="910">
          <cell r="C910">
            <v>44258</v>
          </cell>
          <cell r="D910" t="str">
            <v xml:space="preserve">CM 5 ESQUINAS </v>
          </cell>
          <cell r="E910" t="str">
            <v>S</v>
          </cell>
          <cell r="F910" t="str">
            <v>20001</v>
          </cell>
          <cell r="H910" t="str">
            <v>CR||7|||||#|17||-|1|||</v>
          </cell>
          <cell r="J910">
            <v>120523</v>
          </cell>
          <cell r="L910" t="str">
            <v>10.4744</v>
          </cell>
          <cell r="M910" t="str">
            <v>-73.2438</v>
          </cell>
        </row>
        <row r="911">
          <cell r="C911">
            <v>44259</v>
          </cell>
          <cell r="D911" t="str">
            <v>CM CAÑAHUATERA</v>
          </cell>
          <cell r="E911" t="str">
            <v>S</v>
          </cell>
          <cell r="F911" t="str">
            <v>20001</v>
          </cell>
          <cell r="H911" t="str">
            <v>CL||13|||||#|9||-|27|||</v>
          </cell>
          <cell r="J911">
            <v>120523</v>
          </cell>
          <cell r="L911" t="str">
            <v>10.479396</v>
          </cell>
          <cell r="M911" t="str">
            <v>-73.250769</v>
          </cell>
        </row>
        <row r="912">
          <cell r="C912">
            <v>9106</v>
          </cell>
          <cell r="D912" t="str">
            <v>CM APUESTAS EL SUERTE</v>
          </cell>
          <cell r="E912" t="str">
            <v>S</v>
          </cell>
          <cell r="F912" t="str">
            <v>20001</v>
          </cell>
          <cell r="G912" t="str">
            <v xml:space="preserve">CM </v>
          </cell>
          <cell r="H912" t="str">
            <v>CR||27|||||#|52||-|75|||</v>
          </cell>
          <cell r="J912">
            <v>120523</v>
          </cell>
          <cell r="L912" t="str">
            <v>10.45915</v>
          </cell>
          <cell r="M912" t="str">
            <v>-73.2496</v>
          </cell>
        </row>
        <row r="913">
          <cell r="C913">
            <v>250020</v>
          </cell>
          <cell r="D913" t="str">
            <v>CM DINARAS 1</v>
          </cell>
          <cell r="E913" t="str">
            <v>S</v>
          </cell>
          <cell r="F913" t="str">
            <v>20178</v>
          </cell>
          <cell r="H913" t="str">
            <v xml:space="preserve">CALLE 1 A CRA 5 # 130  BARRIO CAMPO SOTO </v>
          </cell>
          <cell r="J913">
            <v>0</v>
          </cell>
          <cell r="L913" t="str">
            <v>9.359290</v>
          </cell>
          <cell r="M913" t="str">
            <v>-73.601354</v>
          </cell>
        </row>
        <row r="914">
          <cell r="C914">
            <v>250297</v>
          </cell>
          <cell r="D914" t="str">
            <v>CM SEBAS</v>
          </cell>
          <cell r="E914" t="str">
            <v>S</v>
          </cell>
          <cell r="F914" t="str">
            <v>20045</v>
          </cell>
          <cell r="H914" t="str">
            <v>SECTOR 1 MZ A-24 URB LOS MANGUITOS II</v>
          </cell>
          <cell r="J914">
            <v>0</v>
          </cell>
          <cell r="L914" t="str">
            <v>9.70431</v>
          </cell>
          <cell r="M914" t="str">
            <v>-73.28525</v>
          </cell>
        </row>
        <row r="915">
          <cell r="C915">
            <v>250323</v>
          </cell>
          <cell r="D915" t="str">
            <v>CM VALERIA</v>
          </cell>
          <cell r="E915" t="str">
            <v>S</v>
          </cell>
          <cell r="F915" t="str">
            <v>20011</v>
          </cell>
          <cell r="H915" t="str">
            <v>MZ B CASA 23 BARRIO NUEVO ORIENTE</v>
          </cell>
          <cell r="J915">
            <v>0</v>
          </cell>
          <cell r="L915" t="str">
            <v>8.32278886</v>
          </cell>
          <cell r="M915" t="str">
            <v>-73.5868193</v>
          </cell>
        </row>
        <row r="916">
          <cell r="C916">
            <v>250319</v>
          </cell>
          <cell r="D916" t="str">
            <v>CM NUEVO CHAMPAN</v>
          </cell>
          <cell r="E916" t="str">
            <v>S</v>
          </cell>
          <cell r="F916" t="str">
            <v>20228</v>
          </cell>
          <cell r="H916" t="str">
            <v>CARRT VIA A HOJANCHA KM4-300 BARRIO ACOSTA</v>
          </cell>
          <cell r="J916">
            <v>0</v>
          </cell>
          <cell r="L916" t="str">
            <v>9.190895</v>
          </cell>
          <cell r="M916" t="str">
            <v>-73.647922</v>
          </cell>
        </row>
        <row r="917">
          <cell r="C917">
            <v>300084</v>
          </cell>
          <cell r="D917" t="str">
            <v>CM LA FLORIDA 2</v>
          </cell>
          <cell r="E917" t="str">
            <v>S</v>
          </cell>
          <cell r="F917" t="str">
            <v>20621</v>
          </cell>
          <cell r="H917" t="str">
            <v>CL 3 # 12-102  BARRIO LA FLORIDA</v>
          </cell>
          <cell r="J917">
            <v>0</v>
          </cell>
          <cell r="L917" t="str">
            <v>10.399553</v>
          </cell>
          <cell r="M917" t="str">
            <v>-73.168130</v>
          </cell>
        </row>
        <row r="918">
          <cell r="C918">
            <v>250004</v>
          </cell>
          <cell r="D918" t="str">
            <v>CM SANTI 1</v>
          </cell>
          <cell r="E918" t="str">
            <v>S</v>
          </cell>
          <cell r="F918" t="str">
            <v>20550</v>
          </cell>
          <cell r="H918" t="str">
            <v>CR 4 # 7-6 BARRIO NUEVA COLOMBIA</v>
          </cell>
          <cell r="J918">
            <v>0</v>
          </cell>
          <cell r="L918" t="str">
            <v>8.7338</v>
          </cell>
          <cell r="M918" t="str">
            <v>-73.7240</v>
          </cell>
        </row>
        <row r="919">
          <cell r="C919">
            <v>250016</v>
          </cell>
          <cell r="D919" t="str">
            <v>CM COLEGIO SAN MARTIN 1</v>
          </cell>
          <cell r="E919" t="str">
            <v>S</v>
          </cell>
          <cell r="F919" t="str">
            <v>20238</v>
          </cell>
          <cell r="H919" t="str">
            <v>CR 9 # 15-13 BARRIO SAN MARTIN</v>
          </cell>
          <cell r="J919">
            <v>0</v>
          </cell>
          <cell r="L919" t="str">
            <v>1.015575</v>
          </cell>
          <cell r="M919" t="str">
            <v>-73.95752</v>
          </cell>
        </row>
        <row r="920">
          <cell r="C920">
            <v>300985</v>
          </cell>
          <cell r="D920" t="str">
            <v xml:space="preserve">CM LA CHIKI </v>
          </cell>
          <cell r="E920" t="str">
            <v>S</v>
          </cell>
          <cell r="F920" t="str">
            <v>20045</v>
          </cell>
          <cell r="H920" t="str">
            <v xml:space="preserve">CL 13 #9-109 BR BRISAS DEL MARACA </v>
          </cell>
          <cell r="J920">
            <v>0</v>
          </cell>
          <cell r="L920" t="str">
            <v>9.70009</v>
          </cell>
          <cell r="M920" t="str">
            <v>-73.27735</v>
          </cell>
        </row>
        <row r="921">
          <cell r="C921">
            <v>301639</v>
          </cell>
          <cell r="D921" t="str">
            <v>CM TIENDA LA FE EEUU</v>
          </cell>
          <cell r="E921" t="str">
            <v>S</v>
          </cell>
          <cell r="F921" t="str">
            <v>20045</v>
          </cell>
          <cell r="H921" t="str">
            <v>DG AL PARQUE # 38637 CORRG ESTADOS UNIDOS</v>
          </cell>
          <cell r="J921">
            <v>0</v>
          </cell>
          <cell r="L921" t="str">
            <v>9.59083</v>
          </cell>
          <cell r="M921" t="str">
            <v>-73.23433</v>
          </cell>
        </row>
        <row r="922">
          <cell r="C922">
            <v>47631</v>
          </cell>
          <cell r="D922" t="str">
            <v>VALLEDUPAR COLOMBIA MAYOR</v>
          </cell>
          <cell r="E922" t="str">
            <v>S</v>
          </cell>
          <cell r="F922" t="str">
            <v>20001</v>
          </cell>
          <cell r="H922" t="str">
            <v>MOVIL</v>
          </cell>
          <cell r="J922">
            <v>0</v>
          </cell>
        </row>
        <row r="923">
          <cell r="C923">
            <v>301481</v>
          </cell>
          <cell r="D923" t="str">
            <v>CM PROVISIONES MARY</v>
          </cell>
          <cell r="E923" t="str">
            <v>S</v>
          </cell>
          <cell r="F923" t="str">
            <v>20001</v>
          </cell>
          <cell r="H923" t="str">
            <v>TRANSV 25 #20A-48 BARRIO FUNDADORES</v>
          </cell>
          <cell r="J923">
            <v>0</v>
          </cell>
          <cell r="L923" t="str">
            <v>10.454952</v>
          </cell>
          <cell r="M923" t="str">
            <v>-73.258583</v>
          </cell>
        </row>
        <row r="924">
          <cell r="C924">
            <v>301482</v>
          </cell>
          <cell r="D924" t="str">
            <v>CM BAYSHARIKA</v>
          </cell>
          <cell r="E924" t="str">
            <v>S</v>
          </cell>
          <cell r="F924" t="str">
            <v>20400</v>
          </cell>
          <cell r="H924" t="str">
            <v>MZ 12 CS 1 BARRIO NANCY LOBO</v>
          </cell>
          <cell r="J924">
            <v>0</v>
          </cell>
          <cell r="L924" t="str">
            <v>9.570669</v>
          </cell>
          <cell r="M924" t="str">
            <v>-73.341430</v>
          </cell>
        </row>
        <row r="925">
          <cell r="C925">
            <v>301084</v>
          </cell>
          <cell r="D925" t="str">
            <v>PDV CASETA NUEVAS FLORES</v>
          </cell>
          <cell r="E925" t="str">
            <v>S</v>
          </cell>
          <cell r="F925" t="str">
            <v>20013</v>
          </cell>
          <cell r="H925" t="str">
            <v>CRRT VIA CODAZZI KM 40-45 BRR NUEVA FLORES</v>
          </cell>
          <cell r="J925">
            <v>0</v>
          </cell>
          <cell r="L925" t="str">
            <v>10.1452</v>
          </cell>
          <cell r="M925" t="str">
            <v>-73.2358</v>
          </cell>
        </row>
        <row r="926">
          <cell r="C926">
            <v>301684</v>
          </cell>
          <cell r="D926" t="str">
            <v>CM MARI</v>
          </cell>
          <cell r="E926" t="str">
            <v>S</v>
          </cell>
          <cell r="F926" t="str">
            <v>20001</v>
          </cell>
          <cell r="H926" t="str">
            <v>CR 2A CL 8-3 URB SAN ANTONIO DE PAULA</v>
          </cell>
          <cell r="J926">
            <v>0</v>
          </cell>
          <cell r="L926" t="str">
            <v>9.53429</v>
          </cell>
          <cell r="M926" t="str">
            <v>-73.91275</v>
          </cell>
        </row>
        <row r="927">
          <cell r="C927">
            <v>301529</v>
          </cell>
          <cell r="D927" t="str">
            <v>CM 27 DE ABRIL</v>
          </cell>
          <cell r="E927" t="str">
            <v>S</v>
          </cell>
          <cell r="F927" t="str">
            <v>20238</v>
          </cell>
          <cell r="H927" t="str">
            <v>CL 29 #4-5 BRR 27 DE ABRIL</v>
          </cell>
          <cell r="J927">
            <v>0</v>
          </cell>
          <cell r="L927" t="str">
            <v>10.14147333</v>
          </cell>
          <cell r="M927" t="str">
            <v>-73.966995</v>
          </cell>
        </row>
        <row r="928">
          <cell r="C928">
            <v>7102</v>
          </cell>
          <cell r="D928" t="str">
            <v>OFICINA PRINCIPAL ASTREA</v>
          </cell>
          <cell r="E928" t="str">
            <v>S</v>
          </cell>
          <cell r="F928" t="str">
            <v>20032</v>
          </cell>
          <cell r="G928" t="str">
            <v xml:space="preserve">CDA </v>
          </cell>
          <cell r="H928" t="str">
            <v>CL||7|||||#|3||-|76|||</v>
          </cell>
          <cell r="J928">
            <v>0</v>
          </cell>
          <cell r="L928" t="str">
            <v>9.4979</v>
          </cell>
          <cell r="M928" t="str">
            <v>-73.9779</v>
          </cell>
        </row>
        <row r="929">
          <cell r="C929">
            <v>8700</v>
          </cell>
          <cell r="D929" t="str">
            <v>CM CAPULCO NUEVO</v>
          </cell>
          <cell r="E929" t="str">
            <v>S</v>
          </cell>
          <cell r="F929" t="str">
            <v>20295</v>
          </cell>
          <cell r="G929" t="str">
            <v>CM</v>
          </cell>
          <cell r="H929" t="str">
            <v>MZ E CA 3</v>
          </cell>
          <cell r="J929">
            <v>0</v>
          </cell>
        </row>
        <row r="930">
          <cell r="C930">
            <v>8680</v>
          </cell>
          <cell r="D930" t="str">
            <v>CM LA YE DE RINCON HONDO</v>
          </cell>
          <cell r="E930" t="str">
            <v>S</v>
          </cell>
          <cell r="F930" t="str">
            <v>20178</v>
          </cell>
          <cell r="G930" t="str">
            <v>CM</v>
          </cell>
          <cell r="H930" t="str">
            <v>CR 6 CL 2 - 145</v>
          </cell>
          <cell r="J930">
            <v>0</v>
          </cell>
        </row>
        <row r="931">
          <cell r="C931">
            <v>16880</v>
          </cell>
          <cell r="D931" t="str">
            <v>PDV CENTRO LA PAZ</v>
          </cell>
          <cell r="E931" t="str">
            <v>S</v>
          </cell>
          <cell r="F931" t="str">
            <v>20621</v>
          </cell>
          <cell r="G931" t="str">
            <v xml:space="preserve">PDV </v>
          </cell>
          <cell r="H931" t="str">
            <v>CL||2|||||#|2||-|104|||</v>
          </cell>
          <cell r="J931">
            <v>120523</v>
          </cell>
          <cell r="L931" t="str">
            <v>10.387427</v>
          </cell>
          <cell r="M931" t="str">
            <v>-73.170323</v>
          </cell>
        </row>
        <row r="932">
          <cell r="C932">
            <v>16881</v>
          </cell>
          <cell r="D932" t="str">
            <v>PDV BETPLAY VIA LA PALMA</v>
          </cell>
          <cell r="E932" t="str">
            <v>S</v>
          </cell>
          <cell r="F932" t="str">
            <v>20710</v>
          </cell>
          <cell r="G932" t="str">
            <v xml:space="preserve">PDV </v>
          </cell>
          <cell r="H932" t="str">
            <v>CL||5|||||#|7||-|49|||</v>
          </cell>
          <cell r="J932">
            <v>120523</v>
          </cell>
          <cell r="L932" t="str">
            <v>7.75992</v>
          </cell>
          <cell r="M932" t="str">
            <v>-73.39254</v>
          </cell>
        </row>
        <row r="933">
          <cell r="C933">
            <v>17075</v>
          </cell>
          <cell r="D933" t="str">
            <v>PDV LA POLICÍA</v>
          </cell>
          <cell r="E933" t="str">
            <v>S</v>
          </cell>
          <cell r="F933" t="str">
            <v>20228</v>
          </cell>
          <cell r="G933" t="str">
            <v xml:space="preserve">PDV </v>
          </cell>
          <cell r="H933" t="str">
            <v>CR||16|||||#|7||-|32|||</v>
          </cell>
          <cell r="J933">
            <v>120523</v>
          </cell>
          <cell r="L933" t="str">
            <v>9.202046</v>
          </cell>
          <cell r="M933" t="str">
            <v>-73.540169</v>
          </cell>
        </row>
        <row r="934">
          <cell r="C934">
            <v>17178</v>
          </cell>
          <cell r="D934" t="str">
            <v xml:space="preserve">CDA LA CUARTA </v>
          </cell>
          <cell r="E934" t="str">
            <v>S</v>
          </cell>
          <cell r="F934" t="str">
            <v>20001</v>
          </cell>
          <cell r="G934" t="str">
            <v xml:space="preserve">CDA </v>
          </cell>
          <cell r="H934" t="str">
            <v>CL||21|||||#|4||-|2|||</v>
          </cell>
          <cell r="J934">
            <v>120523</v>
          </cell>
          <cell r="L934" t="str">
            <v>10.456</v>
          </cell>
          <cell r="M934" t="str">
            <v>-73.2327</v>
          </cell>
        </row>
        <row r="935">
          <cell r="C935">
            <v>17322</v>
          </cell>
          <cell r="D935" t="str">
            <v>PDV EL MAGO</v>
          </cell>
          <cell r="E935" t="str">
            <v>S</v>
          </cell>
          <cell r="F935" t="str">
            <v>20228</v>
          </cell>
          <cell r="G935" t="str">
            <v xml:space="preserve">PDV </v>
          </cell>
          <cell r="H935" t="str">
            <v>CL||11|||||#|6||-|45|||</v>
          </cell>
          <cell r="J935">
            <v>120523</v>
          </cell>
          <cell r="L935" t="str">
            <v>9.20064</v>
          </cell>
          <cell r="M935" t="str">
            <v>-73.544143</v>
          </cell>
        </row>
        <row r="936">
          <cell r="C936">
            <v>17410</v>
          </cell>
          <cell r="D936" t="str">
            <v>PDV CENTRO COMERCIAL MAYALES</v>
          </cell>
          <cell r="E936" t="str">
            <v>S</v>
          </cell>
          <cell r="F936" t="str">
            <v>20001</v>
          </cell>
          <cell r="G936" t="str">
            <v xml:space="preserve">PDV </v>
          </cell>
          <cell r="H936" t="str">
            <v>CR||25|A||||#|47||-|52|||</v>
          </cell>
          <cell r="J936">
            <v>120523</v>
          </cell>
          <cell r="L936" t="str">
            <v>10.4551</v>
          </cell>
          <cell r="M936" t="str">
            <v>-73.2418</v>
          </cell>
        </row>
        <row r="937">
          <cell r="C937">
            <v>17548</v>
          </cell>
          <cell r="D937" t="str">
            <v>CM EL CAUCHO</v>
          </cell>
          <cell r="E937" t="str">
            <v>S</v>
          </cell>
          <cell r="F937" t="str">
            <v>20013</v>
          </cell>
          <cell r="H937" t="str">
            <v>MZ 11 CA 20</v>
          </cell>
          <cell r="J937">
            <v>0</v>
          </cell>
          <cell r="L937" t="str">
            <v>6.2779849</v>
          </cell>
          <cell r="M937" t="str">
            <v>-71.0994553</v>
          </cell>
        </row>
        <row r="938">
          <cell r="C938">
            <v>17585</v>
          </cell>
          <cell r="D938" t="str">
            <v>CM RIO SECO 2</v>
          </cell>
          <cell r="E938" t="str">
            <v>S</v>
          </cell>
          <cell r="F938" t="str">
            <v>20001</v>
          </cell>
          <cell r="G938" t="str">
            <v xml:space="preserve">CM </v>
          </cell>
          <cell r="H938" t="str">
            <v>CL||9|||||#|4||-|44|||</v>
          </cell>
          <cell r="J938">
            <v>120523</v>
          </cell>
          <cell r="L938" t="str">
            <v>10.6088</v>
          </cell>
          <cell r="M938" t="str">
            <v>-73.224872</v>
          </cell>
        </row>
        <row r="939">
          <cell r="C939">
            <v>20601</v>
          </cell>
          <cell r="D939" t="str">
            <v>PDV CENTRO PAILITAS</v>
          </cell>
          <cell r="E939" t="str">
            <v>S</v>
          </cell>
          <cell r="F939" t="str">
            <v>20517</v>
          </cell>
          <cell r="G939" t="str">
            <v xml:space="preserve">PDV </v>
          </cell>
          <cell r="H939" t="str">
            <v>CR||6|||||#|5||-|67|||</v>
          </cell>
          <cell r="J939">
            <v>120523</v>
          </cell>
          <cell r="L939" t="str">
            <v>8.95896</v>
          </cell>
          <cell r="M939" t="str">
            <v>-73.62298</v>
          </cell>
        </row>
        <row r="940">
          <cell r="C940">
            <v>20278</v>
          </cell>
          <cell r="D940" t="str">
            <v>PDV LA VIA BOSCONIA</v>
          </cell>
          <cell r="E940" t="str">
            <v>S</v>
          </cell>
          <cell r="F940" t="str">
            <v>20060</v>
          </cell>
          <cell r="G940" t="str">
            <v xml:space="preserve">PDV </v>
          </cell>
          <cell r="H940" t="str">
            <v>CL||18|||||#|17||-|5|||</v>
          </cell>
          <cell r="J940">
            <v>120523</v>
          </cell>
          <cell r="L940" t="str">
            <v>9.973698</v>
          </cell>
          <cell r="M940" t="str">
            <v>-73.885145</v>
          </cell>
        </row>
        <row r="941">
          <cell r="C941">
            <v>20298</v>
          </cell>
          <cell r="D941" t="str">
            <v>CDA CASACARA</v>
          </cell>
          <cell r="E941" t="str">
            <v>S</v>
          </cell>
          <cell r="F941" t="str">
            <v>20013</v>
          </cell>
          <cell r="G941" t="str">
            <v xml:space="preserve">CDA </v>
          </cell>
          <cell r="H941" t="str">
            <v>CL||12|||||#|20||-|6|||</v>
          </cell>
          <cell r="J941">
            <v>120523</v>
          </cell>
          <cell r="L941" t="str">
            <v>9.832734</v>
          </cell>
          <cell r="M941" t="str">
            <v>-73.265435</v>
          </cell>
        </row>
        <row r="942">
          <cell r="C942">
            <v>20282</v>
          </cell>
          <cell r="D942" t="str">
            <v>PDV DON CARMELO</v>
          </cell>
          <cell r="E942" t="str">
            <v>S</v>
          </cell>
          <cell r="F942" t="str">
            <v>20001</v>
          </cell>
          <cell r="G942" t="str">
            <v xml:space="preserve">PDV </v>
          </cell>
          <cell r="H942" t="str">
            <v>CL||49|||||#|27||-|10|||</v>
          </cell>
          <cell r="J942">
            <v>120523</v>
          </cell>
          <cell r="L942" t="str">
            <v>10.442565</v>
          </cell>
          <cell r="M942" t="str">
            <v>-73.256279</v>
          </cell>
        </row>
        <row r="943">
          <cell r="C943">
            <v>40256</v>
          </cell>
          <cell r="D943" t="str">
            <v>TAT DONDE NUBIA</v>
          </cell>
          <cell r="E943" t="str">
            <v>S</v>
          </cell>
          <cell r="F943" t="str">
            <v>20710</v>
          </cell>
          <cell r="G943" t="str">
            <v xml:space="preserve">TAT </v>
          </cell>
          <cell r="H943" t="str">
            <v>OT||||||||||||||BARRIO 1  DE M AYO</v>
          </cell>
          <cell r="J943">
            <v>120523</v>
          </cell>
          <cell r="L943" t="str">
            <v>7.76368</v>
          </cell>
          <cell r="M943" t="str">
            <v>-73.39321</v>
          </cell>
        </row>
        <row r="944">
          <cell r="C944">
            <v>41101</v>
          </cell>
          <cell r="D944" t="str">
            <v>PDV LA 10</v>
          </cell>
          <cell r="E944" t="str">
            <v>S</v>
          </cell>
          <cell r="F944" t="str">
            <v>20013</v>
          </cell>
          <cell r="H944" t="str">
            <v>CR||14|||||#|10||-|04|||</v>
          </cell>
          <cell r="J944">
            <v>120523</v>
          </cell>
          <cell r="L944" t="str">
            <v>10.028022</v>
          </cell>
          <cell r="M944" t="str">
            <v>-73.233301</v>
          </cell>
        </row>
        <row r="945">
          <cell r="C945">
            <v>41046</v>
          </cell>
          <cell r="D945" t="str">
            <v xml:space="preserve">CM SOFIA </v>
          </cell>
          <cell r="E945" t="str">
            <v>S</v>
          </cell>
          <cell r="F945" t="str">
            <v>20228</v>
          </cell>
          <cell r="H945" t="str">
            <v>CL||14|||||#|13||-|28|||</v>
          </cell>
          <cell r="J945">
            <v>120523</v>
          </cell>
          <cell r="L945" t="str">
            <v>9.206889</v>
          </cell>
          <cell r="M945" t="str">
            <v>-73.539711</v>
          </cell>
        </row>
        <row r="946">
          <cell r="C946">
            <v>41051</v>
          </cell>
          <cell r="D946" t="str">
            <v xml:space="preserve">CM EL PAISA </v>
          </cell>
          <cell r="E946" t="str">
            <v>S</v>
          </cell>
          <cell r="F946" t="str">
            <v>20001</v>
          </cell>
          <cell r="H946" t="str">
            <v>CR||36|||||#|17||-|47|||</v>
          </cell>
          <cell r="J946">
            <v>120523</v>
          </cell>
          <cell r="L946" t="str">
            <v>10.454047</v>
          </cell>
          <cell r="M946" t="str">
            <v>-73.275293</v>
          </cell>
        </row>
        <row r="947">
          <cell r="C947">
            <v>40950</v>
          </cell>
          <cell r="D947" t="str">
            <v>CM JARRY PE</v>
          </cell>
          <cell r="E947" t="str">
            <v>S</v>
          </cell>
          <cell r="F947" t="str">
            <v>20178</v>
          </cell>
          <cell r="G947" t="str">
            <v xml:space="preserve">CM </v>
          </cell>
          <cell r="H947" t="str">
            <v>CL||3|||||#|6||-|37|||</v>
          </cell>
          <cell r="J947">
            <v>120523</v>
          </cell>
          <cell r="L947" t="str">
            <v>9.3606</v>
          </cell>
          <cell r="M947" t="str">
            <v>-73.6008</v>
          </cell>
        </row>
        <row r="948">
          <cell r="C948">
            <v>41047</v>
          </cell>
          <cell r="D948" t="str">
            <v>CM FUSION</v>
          </cell>
          <cell r="E948" t="str">
            <v>S</v>
          </cell>
          <cell r="F948" t="str">
            <v>20011</v>
          </cell>
          <cell r="G948" t="str">
            <v xml:space="preserve">CM </v>
          </cell>
          <cell r="H948" t="str">
            <v>CL||14|||||#|10|C|-|45|||</v>
          </cell>
          <cell r="J948">
            <v>120523</v>
          </cell>
          <cell r="L948" t="str">
            <v>8.298758</v>
          </cell>
          <cell r="M948" t="str">
            <v>-73.620058</v>
          </cell>
        </row>
        <row r="949">
          <cell r="C949">
            <v>43597</v>
          </cell>
          <cell r="D949" t="str">
            <v>PDV LA MATA</v>
          </cell>
          <cell r="E949" t="str">
            <v>S</v>
          </cell>
          <cell r="F949" t="str">
            <v>20383</v>
          </cell>
          <cell r="H949" t="str">
            <v>CR||3|||||#|2||-|76|||</v>
          </cell>
          <cell r="J949">
            <v>120523</v>
          </cell>
          <cell r="L949" t="str">
            <v>8.60981575</v>
          </cell>
          <cell r="M949" t="str">
            <v>-73.63565621</v>
          </cell>
        </row>
        <row r="950">
          <cell r="C950">
            <v>43634</v>
          </cell>
          <cell r="D950" t="str">
            <v>CM MISCELANIA BEATRIZ</v>
          </cell>
          <cell r="E950" t="str">
            <v>S</v>
          </cell>
          <cell r="F950" t="str">
            <v>20175</v>
          </cell>
          <cell r="H950" t="str">
            <v>CL||18|||||#|12||-|6|||</v>
          </cell>
          <cell r="J950">
            <v>120523</v>
          </cell>
          <cell r="L950" t="str">
            <v>9.26403</v>
          </cell>
          <cell r="M950" t="str">
            <v>-73.813429</v>
          </cell>
        </row>
        <row r="951">
          <cell r="C951">
            <v>45334</v>
          </cell>
          <cell r="D951" t="str">
            <v>CM TIENDA LOS MANGOS</v>
          </cell>
          <cell r="E951" t="str">
            <v>S</v>
          </cell>
          <cell r="F951" t="str">
            <v>20770</v>
          </cell>
          <cell r="H951" t="str">
            <v>CR||2|||||#|12||-|36|||</v>
          </cell>
          <cell r="J951">
            <v>120523</v>
          </cell>
          <cell r="L951" t="str">
            <v>7.89643</v>
          </cell>
          <cell r="M951" t="str">
            <v>-73.45809833</v>
          </cell>
        </row>
        <row r="952">
          <cell r="C952">
            <v>45349</v>
          </cell>
          <cell r="D952" t="str">
            <v>CM NUEVA ESPERANZA</v>
          </cell>
          <cell r="E952" t="str">
            <v>S</v>
          </cell>
          <cell r="F952" t="str">
            <v>20060</v>
          </cell>
          <cell r="H952" t="str">
            <v>OT||||||||||||||MZ14 CA 18 NUEVAESPERANZA</v>
          </cell>
          <cell r="J952">
            <v>120523</v>
          </cell>
          <cell r="L952" t="str">
            <v>9.9787</v>
          </cell>
          <cell r="M952" t="str">
            <v>-73.8775</v>
          </cell>
        </row>
        <row r="953">
          <cell r="C953">
            <v>46789</v>
          </cell>
          <cell r="D953" t="str">
            <v>CM APUESTAS DIEGO</v>
          </cell>
          <cell r="E953" t="str">
            <v>S</v>
          </cell>
          <cell r="F953" t="str">
            <v>20001</v>
          </cell>
          <cell r="H953" t="str">
            <v>CR 6B # 20D-73 BARRIO SAN JORGE</v>
          </cell>
          <cell r="J953">
            <v>0</v>
          </cell>
          <cell r="L953" t="str">
            <v>10.464390</v>
          </cell>
          <cell r="M953" t="str">
            <v>-73.241580</v>
          </cell>
        </row>
        <row r="954">
          <cell r="C954">
            <v>46317</v>
          </cell>
          <cell r="D954" t="str">
            <v>AMBULANTE NV BOSCONIA MOVISTAR</v>
          </cell>
          <cell r="E954" t="str">
            <v>S</v>
          </cell>
          <cell r="F954" t="str">
            <v>20060</v>
          </cell>
          <cell r="J954">
            <v>0</v>
          </cell>
          <cell r="L954" t="str">
            <v>9.9719</v>
          </cell>
          <cell r="M954" t="str">
            <v>-73.8882</v>
          </cell>
        </row>
        <row r="955">
          <cell r="C955">
            <v>45095</v>
          </cell>
          <cell r="D955" t="str">
            <v xml:space="preserve">PDV MARANATHA </v>
          </cell>
          <cell r="E955" t="str">
            <v>S</v>
          </cell>
          <cell r="F955" t="str">
            <v>20013</v>
          </cell>
          <cell r="H955" t="str">
            <v>CL||22|||||#|15||-|4|||</v>
          </cell>
          <cell r="J955">
            <v>120523</v>
          </cell>
          <cell r="L955" t="str">
            <v>10.03888</v>
          </cell>
          <cell r="M955" t="str">
            <v>-73.23585</v>
          </cell>
        </row>
        <row r="956">
          <cell r="C956">
            <v>46315</v>
          </cell>
          <cell r="D956" t="str">
            <v>AMBULANTE NV BOSCONIA CLARO</v>
          </cell>
          <cell r="E956" t="str">
            <v>S</v>
          </cell>
          <cell r="F956" t="str">
            <v>20060</v>
          </cell>
          <cell r="J956">
            <v>0</v>
          </cell>
          <cell r="L956" t="str">
            <v>9.9719</v>
          </cell>
          <cell r="M956" t="str">
            <v>-73.8882</v>
          </cell>
        </row>
        <row r="957">
          <cell r="C957">
            <v>44776</v>
          </cell>
          <cell r="D957" t="str">
            <v xml:space="preserve">CM DANNA </v>
          </cell>
          <cell r="E957" t="str">
            <v>S</v>
          </cell>
          <cell r="F957" t="str">
            <v>20011</v>
          </cell>
          <cell r="H957" t="str">
            <v>CL||16|||||#|6||-|5|||</v>
          </cell>
          <cell r="J957">
            <v>120523</v>
          </cell>
          <cell r="L957" t="str">
            <v>8.1741</v>
          </cell>
          <cell r="M957" t="str">
            <v>-73.3732</v>
          </cell>
        </row>
        <row r="958">
          <cell r="C958">
            <v>46968</v>
          </cell>
          <cell r="D958" t="str">
            <v xml:space="preserve">CM LAS K </v>
          </cell>
          <cell r="E958" t="str">
            <v>S</v>
          </cell>
          <cell r="F958" t="str">
            <v>20238</v>
          </cell>
          <cell r="H958" t="str">
            <v>CL 1A # 14A-26 BARRIO SANTORO</v>
          </cell>
          <cell r="J958">
            <v>0</v>
          </cell>
          <cell r="L958" t="str">
            <v>10.156368</v>
          </cell>
          <cell r="M958" t="str">
            <v>-73.963010</v>
          </cell>
        </row>
        <row r="959">
          <cell r="C959">
            <v>44212</v>
          </cell>
          <cell r="D959" t="str">
            <v>CM LAS PALMAS</v>
          </cell>
          <cell r="E959" t="str">
            <v>S</v>
          </cell>
          <cell r="F959" t="str">
            <v>20001</v>
          </cell>
          <cell r="H959" t="str">
            <v>CL||21|||||#|4|D|-|62|||</v>
          </cell>
          <cell r="J959">
            <v>0</v>
          </cell>
          <cell r="L959" t="str">
            <v>10.46495</v>
          </cell>
          <cell r="M959" t="str">
            <v>-73.23532</v>
          </cell>
        </row>
        <row r="960">
          <cell r="C960">
            <v>45447</v>
          </cell>
          <cell r="D960" t="str">
            <v>PDV CENTRO SAN MARTIN</v>
          </cell>
          <cell r="E960" t="str">
            <v>S</v>
          </cell>
          <cell r="F960" t="str">
            <v>20770</v>
          </cell>
          <cell r="H960" t="str">
            <v>CR||7|||||#|16||-|46|||</v>
          </cell>
          <cell r="J960">
            <v>120523</v>
          </cell>
          <cell r="L960" t="str">
            <v>8.0009</v>
          </cell>
          <cell r="M960" t="str">
            <v>-73.5125</v>
          </cell>
        </row>
        <row r="961">
          <cell r="C961">
            <v>43573</v>
          </cell>
          <cell r="D961" t="str">
            <v>TAT FUNDADORES</v>
          </cell>
          <cell r="E961" t="str">
            <v>S</v>
          </cell>
          <cell r="F961" t="str">
            <v>20001</v>
          </cell>
          <cell r="H961" t="str">
            <v>CR||25|||||#|35||-|5|||</v>
          </cell>
          <cell r="J961">
            <v>120523</v>
          </cell>
          <cell r="L961" t="str">
            <v>10.448166</v>
          </cell>
          <cell r="M961" t="str">
            <v>-73.254736</v>
          </cell>
        </row>
        <row r="962">
          <cell r="C962">
            <v>47446</v>
          </cell>
          <cell r="D962" t="str">
            <v>CM SAVILOE</v>
          </cell>
          <cell r="E962" t="str">
            <v>S</v>
          </cell>
          <cell r="F962" t="str">
            <v>20045</v>
          </cell>
          <cell r="H962" t="str">
            <v>CR 5 # 12-107 CENTRO</v>
          </cell>
          <cell r="J962">
            <v>0</v>
          </cell>
          <cell r="L962" t="str">
            <v>9.70053</v>
          </cell>
          <cell r="M962" t="str">
            <v>-73.28070</v>
          </cell>
        </row>
        <row r="963">
          <cell r="C963">
            <v>300445</v>
          </cell>
          <cell r="D963" t="str">
            <v>NUEVO CDA RIO DE ORO</v>
          </cell>
          <cell r="E963" t="str">
            <v>S</v>
          </cell>
          <cell r="F963" t="str">
            <v>20614</v>
          </cell>
          <cell r="H963" t="str">
            <v>CL 1-1A-09 CRRT CENTRAL RIO DE ORO</v>
          </cell>
          <cell r="J963">
            <v>0</v>
          </cell>
          <cell r="L963" t="str">
            <v>8.29133</v>
          </cell>
          <cell r="M963" t="str">
            <v>-73.38461</v>
          </cell>
        </row>
        <row r="964">
          <cell r="C964">
            <v>301668</v>
          </cell>
          <cell r="D964" t="str">
            <v>CM LA HERMOSA</v>
          </cell>
          <cell r="E964" t="str">
            <v>S</v>
          </cell>
          <cell r="F964" t="str">
            <v>20032</v>
          </cell>
          <cell r="H964" t="str">
            <v>CL 21 CR 7-21 BARRIO SIMON BOLIVAR</v>
          </cell>
          <cell r="J964">
            <v>0</v>
          </cell>
          <cell r="L964" t="str">
            <v>9.48961</v>
          </cell>
          <cell r="M964" t="str">
            <v>-73.97359</v>
          </cell>
        </row>
        <row r="965">
          <cell r="C965">
            <v>300832</v>
          </cell>
          <cell r="D965" t="str">
            <v>CM DULCE VANIDAD 2</v>
          </cell>
          <cell r="E965" t="str">
            <v>S</v>
          </cell>
          <cell r="F965" t="str">
            <v>20710</v>
          </cell>
          <cell r="H965" t="str">
            <v>CL 2 # 4-08 BARRIO VILLA FANNY</v>
          </cell>
          <cell r="J965">
            <v>0</v>
          </cell>
          <cell r="L965" t="str">
            <v>7.76134786</v>
          </cell>
          <cell r="M965" t="str">
            <v>-73.39215014</v>
          </cell>
        </row>
        <row r="966">
          <cell r="C966">
            <v>301669</v>
          </cell>
          <cell r="D966" t="str">
            <v>CM MV</v>
          </cell>
          <cell r="E966" t="str">
            <v>S</v>
          </cell>
          <cell r="F966" t="str">
            <v>20032</v>
          </cell>
          <cell r="H966" t="str">
            <v>CL 7 # 4-25 LOC 5  CENTRO</v>
          </cell>
          <cell r="J966">
            <v>0</v>
          </cell>
          <cell r="L966" t="str">
            <v>9.49869</v>
          </cell>
          <cell r="M966" t="str">
            <v>-73.97658</v>
          </cell>
        </row>
        <row r="967">
          <cell r="C967">
            <v>300635</v>
          </cell>
          <cell r="D967" t="str">
            <v>CM ATANQUE YOSELYN</v>
          </cell>
          <cell r="E967" t="str">
            <v>S</v>
          </cell>
          <cell r="F967" t="str">
            <v>20001</v>
          </cell>
          <cell r="H967" t="str">
            <v>CL 7 CR 8-15 BARRIO EL MEDELLIN</v>
          </cell>
          <cell r="J967">
            <v>0</v>
          </cell>
          <cell r="L967" t="str">
            <v>10.6962471</v>
          </cell>
          <cell r="M967" t="str">
            <v>-73.355411</v>
          </cell>
        </row>
        <row r="968">
          <cell r="C968">
            <v>9006</v>
          </cell>
          <cell r="D968" t="str">
            <v>CM LA VILLA</v>
          </cell>
          <cell r="E968" t="str">
            <v>S</v>
          </cell>
          <cell r="F968" t="str">
            <v>20310</v>
          </cell>
          <cell r="G968" t="str">
            <v xml:space="preserve">CM </v>
          </cell>
          <cell r="H968" t="str">
            <v>CL||8|||||#|4||-|1|||</v>
          </cell>
          <cell r="J968">
            <v>120523</v>
          </cell>
          <cell r="L968" t="str">
            <v>8.3896675</v>
          </cell>
          <cell r="M968" t="str">
            <v>-73.380207</v>
          </cell>
        </row>
        <row r="969">
          <cell r="C969">
            <v>8164</v>
          </cell>
          <cell r="D969" t="str">
            <v>CM CC LOS ANGELES</v>
          </cell>
          <cell r="E969" t="str">
            <v>S</v>
          </cell>
          <cell r="F969" t="str">
            <v>20001</v>
          </cell>
          <cell r="G969" t="str">
            <v xml:space="preserve">CM </v>
          </cell>
          <cell r="H969" t="str">
            <v>CR||4|||||#|20|B|-|2|||</v>
          </cell>
          <cell r="J969">
            <v>0</v>
          </cell>
          <cell r="L969" t="str">
            <v>10.475</v>
          </cell>
          <cell r="M969" t="str">
            <v>-73.2442</v>
          </cell>
        </row>
        <row r="970">
          <cell r="C970">
            <v>13356</v>
          </cell>
          <cell r="D970" t="str">
            <v>PDV EMDUPAR PRINCIPAL</v>
          </cell>
          <cell r="E970" t="str">
            <v>S</v>
          </cell>
          <cell r="F970" t="str">
            <v>20001</v>
          </cell>
          <cell r="G970" t="str">
            <v xml:space="preserve">PDV </v>
          </cell>
          <cell r="H970" t="str">
            <v>CL||14|||||#|9||-|70|||</v>
          </cell>
          <cell r="J970">
            <v>120523</v>
          </cell>
          <cell r="L970" t="str">
            <v>10.4721</v>
          </cell>
          <cell r="M970" t="str">
            <v>-73.2535</v>
          </cell>
        </row>
        <row r="971">
          <cell r="C971">
            <v>16921</v>
          </cell>
          <cell r="D971" t="str">
            <v>PDV MANDIGUILLA</v>
          </cell>
          <cell r="E971" t="str">
            <v>S</v>
          </cell>
          <cell r="F971" t="str">
            <v>20175</v>
          </cell>
          <cell r="G971" t="str">
            <v xml:space="preserve">PDV </v>
          </cell>
          <cell r="H971" t="str">
            <v>OT||||||||||||||CARRT VIA ARJONA KM 1 - 25</v>
          </cell>
          <cell r="J971">
            <v>120523</v>
          </cell>
          <cell r="L971" t="str">
            <v>9.352173</v>
          </cell>
          <cell r="M971" t="str">
            <v>-73.884799</v>
          </cell>
        </row>
        <row r="972">
          <cell r="C972">
            <v>16994</v>
          </cell>
          <cell r="D972" t="str">
            <v>CM LOS TRES POSTE</v>
          </cell>
          <cell r="E972" t="str">
            <v>S</v>
          </cell>
          <cell r="F972" t="str">
            <v>20001</v>
          </cell>
          <cell r="G972" t="str">
            <v xml:space="preserve">CM </v>
          </cell>
          <cell r="H972" t="str">
            <v>CL||7|C||||#|19|D|-|7|||</v>
          </cell>
          <cell r="J972">
            <v>120523</v>
          </cell>
          <cell r="L972" t="str">
            <v>10.482592</v>
          </cell>
          <cell r="M972" t="str">
            <v>-73.262133</v>
          </cell>
        </row>
        <row r="973">
          <cell r="C973">
            <v>17377</v>
          </cell>
          <cell r="D973" t="str">
            <v>CM ALTOS DE LA VUELTA</v>
          </cell>
          <cell r="E973" t="str">
            <v>S</v>
          </cell>
          <cell r="F973" t="str">
            <v>20001</v>
          </cell>
          <cell r="G973" t="str">
            <v xml:space="preserve">CM </v>
          </cell>
          <cell r="H973" t="str">
            <v>CL||2|||||#|6||-|95|||</v>
          </cell>
          <cell r="J973">
            <v>120523</v>
          </cell>
          <cell r="L973" t="str">
            <v>10.58759</v>
          </cell>
          <cell r="M973" t="str">
            <v>-73.142577</v>
          </cell>
        </row>
        <row r="974">
          <cell r="C974">
            <v>16809</v>
          </cell>
          <cell r="D974" t="str">
            <v xml:space="preserve">PDV SAN JORGE </v>
          </cell>
          <cell r="E974" t="str">
            <v>S</v>
          </cell>
          <cell r="F974" t="str">
            <v>20001</v>
          </cell>
          <cell r="G974" t="str">
            <v xml:space="preserve">PDV </v>
          </cell>
          <cell r="H974" t="str">
            <v>OT||||||||||||||MZ 1 CA 17</v>
          </cell>
          <cell r="J974">
            <v>120523</v>
          </cell>
          <cell r="L974" t="str">
            <v>10.4643</v>
          </cell>
          <cell r="M974" t="str">
            <v>-73.2411</v>
          </cell>
        </row>
        <row r="975">
          <cell r="C975">
            <v>18453</v>
          </cell>
          <cell r="D975" t="str">
            <v>CM VARIEDAD J Y G</v>
          </cell>
          <cell r="E975" t="str">
            <v>S</v>
          </cell>
          <cell r="F975" t="str">
            <v>20001</v>
          </cell>
          <cell r="G975" t="str">
            <v xml:space="preserve">CM </v>
          </cell>
          <cell r="H975" t="str">
            <v>CL||3|||||#|4||-|5|||</v>
          </cell>
          <cell r="J975">
            <v>120523</v>
          </cell>
          <cell r="L975" t="str">
            <v>10.53116</v>
          </cell>
          <cell r="M975" t="str">
            <v>-73.222545</v>
          </cell>
        </row>
        <row r="976">
          <cell r="C976">
            <v>20602</v>
          </cell>
          <cell r="D976" t="str">
            <v>CM MIL DETALLES ANTHO</v>
          </cell>
          <cell r="E976" t="str">
            <v>S</v>
          </cell>
          <cell r="F976" t="str">
            <v>20001</v>
          </cell>
          <cell r="G976" t="str">
            <v xml:space="preserve">CM </v>
          </cell>
          <cell r="H976" t="str">
            <v>CL||28|||||#|22||-|36|||</v>
          </cell>
          <cell r="J976">
            <v>120523</v>
          </cell>
          <cell r="L976" t="str">
            <v>10.4543</v>
          </cell>
          <cell r="M976" t="str">
            <v>-73.25352</v>
          </cell>
        </row>
        <row r="977">
          <cell r="C977">
            <v>17088</v>
          </cell>
          <cell r="D977" t="str">
            <v>PDV GUACOCHE</v>
          </cell>
          <cell r="E977" t="str">
            <v>S</v>
          </cell>
          <cell r="F977" t="str">
            <v>20001</v>
          </cell>
          <cell r="G977" t="str">
            <v xml:space="preserve">PDV </v>
          </cell>
          <cell r="H977" t="str">
            <v>CL||5|||||#|7||-|33|||</v>
          </cell>
          <cell r="J977">
            <v>120523</v>
          </cell>
          <cell r="L977" t="str">
            <v>10.496342</v>
          </cell>
          <cell r="M977" t="str">
            <v>-73.166355</v>
          </cell>
        </row>
        <row r="978">
          <cell r="C978">
            <v>18202</v>
          </cell>
          <cell r="D978" t="str">
            <v>CM MUNDO ESTUDIANTIL</v>
          </cell>
          <cell r="E978" t="str">
            <v>S</v>
          </cell>
          <cell r="F978" t="str">
            <v>20228</v>
          </cell>
          <cell r="G978" t="str">
            <v xml:space="preserve">CM </v>
          </cell>
          <cell r="H978" t="str">
            <v>CL||9|A||||#|14||-|37|||</v>
          </cell>
          <cell r="J978">
            <v>120523</v>
          </cell>
          <cell r="L978" t="str">
            <v>9.201387</v>
          </cell>
          <cell r="M978" t="str">
            <v>-73.541592</v>
          </cell>
        </row>
        <row r="979">
          <cell r="C979">
            <v>18210</v>
          </cell>
          <cell r="D979" t="str">
            <v>PDV HOSPITAL DE AGUACHICA</v>
          </cell>
          <cell r="E979" t="str">
            <v>S</v>
          </cell>
          <cell r="F979" t="str">
            <v>20011</v>
          </cell>
          <cell r="G979" t="str">
            <v xml:space="preserve">PDV </v>
          </cell>
          <cell r="H979" t="str">
            <v>CL||4|A||||#|34||-|49|||</v>
          </cell>
          <cell r="J979">
            <v>120523</v>
          </cell>
          <cell r="L979" t="str">
            <v>8.309666666</v>
          </cell>
          <cell r="M979" t="str">
            <v>-73.60415361</v>
          </cell>
        </row>
        <row r="980">
          <cell r="C980">
            <v>17504</v>
          </cell>
          <cell r="D980" t="str">
            <v>RSC RECAUDO MOVIL 2</v>
          </cell>
          <cell r="E980" t="str">
            <v>S</v>
          </cell>
          <cell r="F980" t="str">
            <v>20001</v>
          </cell>
          <cell r="G980" t="str">
            <v xml:space="preserve">AMB </v>
          </cell>
          <cell r="H980" t="str">
            <v>CR||12|||||#|16||-|42|||</v>
          </cell>
          <cell r="J980">
            <v>0</v>
          </cell>
        </row>
        <row r="981">
          <cell r="C981">
            <v>18179</v>
          </cell>
          <cell r="D981" t="str">
            <v>RECAUDO MOVIL LA LOMA</v>
          </cell>
          <cell r="E981" t="str">
            <v>S</v>
          </cell>
          <cell r="F981" t="str">
            <v>20250</v>
          </cell>
          <cell r="J981">
            <v>0</v>
          </cell>
        </row>
        <row r="982">
          <cell r="C982">
            <v>39554</v>
          </cell>
          <cell r="D982" t="str">
            <v xml:space="preserve">PDV CALLE 12 </v>
          </cell>
          <cell r="E982" t="str">
            <v>S</v>
          </cell>
          <cell r="F982" t="str">
            <v>20001</v>
          </cell>
          <cell r="G982" t="str">
            <v xml:space="preserve">PDV </v>
          </cell>
          <cell r="H982" t="str">
            <v>CL||12|||||#|16||-|54|||</v>
          </cell>
          <cell r="J982">
            <v>120523</v>
          </cell>
          <cell r="L982" t="str">
            <v>10.476247</v>
          </cell>
          <cell r="M982" t="str">
            <v>-73.2570328</v>
          </cell>
        </row>
        <row r="983">
          <cell r="C983">
            <v>39533</v>
          </cell>
          <cell r="D983" t="str">
            <v>CM CONVISIONES VICKY</v>
          </cell>
          <cell r="E983" t="str">
            <v>S</v>
          </cell>
          <cell r="F983" t="str">
            <v>20001</v>
          </cell>
          <cell r="G983" t="str">
            <v xml:space="preserve">CM </v>
          </cell>
          <cell r="H983" t="str">
            <v>CL||6|||||#|14||-|75|||</v>
          </cell>
          <cell r="J983">
            <v>120523</v>
          </cell>
          <cell r="L983" t="str">
            <v>10.484795</v>
          </cell>
          <cell r="M983" t="str">
            <v>-73.260633</v>
          </cell>
        </row>
        <row r="984">
          <cell r="C984">
            <v>42377</v>
          </cell>
          <cell r="D984" t="str">
            <v>CM VARIEDADES AIDEE</v>
          </cell>
          <cell r="E984" t="str">
            <v>S</v>
          </cell>
          <cell r="F984" t="str">
            <v>20013</v>
          </cell>
          <cell r="H984" t="str">
            <v>CL||13|||||#|7|A|-|20|||</v>
          </cell>
          <cell r="J984">
            <v>120523</v>
          </cell>
          <cell r="L984" t="str">
            <v>9.83611</v>
          </cell>
          <cell r="M984" t="str">
            <v>-73.2597921</v>
          </cell>
        </row>
        <row r="985">
          <cell r="C985">
            <v>42381</v>
          </cell>
          <cell r="D985" t="str">
            <v>TAT LA PITO</v>
          </cell>
          <cell r="E985" t="str">
            <v>S</v>
          </cell>
          <cell r="F985" t="str">
            <v>20228</v>
          </cell>
          <cell r="H985" t="str">
            <v>CR||14|||||#|14||-|01|||</v>
          </cell>
          <cell r="J985">
            <v>120523</v>
          </cell>
          <cell r="L985" t="str">
            <v>9.200412</v>
          </cell>
          <cell r="M985" t="str">
            <v>-73.539947</v>
          </cell>
        </row>
        <row r="986">
          <cell r="C986">
            <v>41148</v>
          </cell>
          <cell r="D986" t="str">
            <v>CM AK EXPRESS</v>
          </cell>
          <cell r="E986" t="str">
            <v>S</v>
          </cell>
          <cell r="F986" t="str">
            <v>20001</v>
          </cell>
          <cell r="H986" t="str">
            <v>CL||6|||||#|19A2||-|4|||</v>
          </cell>
          <cell r="J986">
            <v>120523</v>
          </cell>
          <cell r="L986" t="str">
            <v>10.4855632</v>
          </cell>
          <cell r="M986" t="str">
            <v>-73.26526509</v>
          </cell>
        </row>
        <row r="987">
          <cell r="C987">
            <v>43517</v>
          </cell>
          <cell r="D987" t="str">
            <v>CM BRISAS CESAR</v>
          </cell>
          <cell r="E987" t="str">
            <v>S</v>
          </cell>
          <cell r="F987" t="str">
            <v>20295</v>
          </cell>
          <cell r="H987" t="str">
            <v>OT||||||||||||||NO A C AS A 2</v>
          </cell>
          <cell r="J987">
            <v>120523</v>
          </cell>
          <cell r="L987" t="str">
            <v>8.3306</v>
          </cell>
          <cell r="M987" t="str">
            <v>-73.727041</v>
          </cell>
        </row>
        <row r="988">
          <cell r="C988">
            <v>44556</v>
          </cell>
          <cell r="D988" t="str">
            <v xml:space="preserve">CM VALENTINO </v>
          </cell>
          <cell r="E988" t="str">
            <v>S</v>
          </cell>
          <cell r="F988" t="str">
            <v>20011</v>
          </cell>
          <cell r="H988" t="str">
            <v>CR||31|||||#|8||-|56|||</v>
          </cell>
          <cell r="J988">
            <v>120523</v>
          </cell>
          <cell r="L988" t="str">
            <v>8.3066658</v>
          </cell>
          <cell r="M988" t="str">
            <v>-73.60448</v>
          </cell>
        </row>
        <row r="989">
          <cell r="C989">
            <v>47383</v>
          </cell>
          <cell r="D989" t="str">
            <v>CM FARMANORTE GUATAPURI</v>
          </cell>
          <cell r="E989" t="str">
            <v>S</v>
          </cell>
          <cell r="F989" t="str">
            <v>20001</v>
          </cell>
          <cell r="H989" t="str">
            <v>CL 4 # 21-76 CONJUNTO ORQUIDEAS</v>
          </cell>
          <cell r="J989">
            <v>0</v>
          </cell>
          <cell r="L989" t="str">
            <v>10.293756</v>
          </cell>
          <cell r="M989" t="str">
            <v>-73.168064</v>
          </cell>
        </row>
        <row r="990">
          <cell r="C990">
            <v>300954</v>
          </cell>
          <cell r="D990" t="str">
            <v>CM LA CANCHA</v>
          </cell>
          <cell r="E990" t="str">
            <v>S</v>
          </cell>
          <cell r="F990" t="str">
            <v>20011</v>
          </cell>
          <cell r="H990" t="str">
            <v>MZ M CASA 15 BARRIO LOS COCOS</v>
          </cell>
          <cell r="J990">
            <v>0</v>
          </cell>
          <cell r="L990" t="str">
            <v>8.293775</v>
          </cell>
          <cell r="M990" t="str">
            <v>-73.631705</v>
          </cell>
        </row>
        <row r="991">
          <cell r="C991">
            <v>39526</v>
          </cell>
          <cell r="D991" t="str">
            <v xml:space="preserve">PDV PANAMA </v>
          </cell>
          <cell r="E991" t="str">
            <v>S</v>
          </cell>
          <cell r="F991" t="str">
            <v>20001</v>
          </cell>
          <cell r="G991" t="str">
            <v xml:space="preserve">PDV </v>
          </cell>
          <cell r="H991" t="str">
            <v>CL||39|||||#|5|B|-|14|||</v>
          </cell>
          <cell r="J991">
            <v>120523</v>
          </cell>
          <cell r="L991" t="str">
            <v>10.4508</v>
          </cell>
          <cell r="M991" t="str">
            <v>-73.2391</v>
          </cell>
        </row>
        <row r="992">
          <cell r="C992">
            <v>300852</v>
          </cell>
          <cell r="D992" t="str">
            <v>CM TECNO SMARTPHONE</v>
          </cell>
          <cell r="E992" t="str">
            <v>S</v>
          </cell>
          <cell r="F992" t="str">
            <v>20175</v>
          </cell>
          <cell r="H992" t="str">
            <v>CL 2 # 8-25 BARRIO NUEVO CANDELARIA</v>
          </cell>
          <cell r="J992">
            <v>0</v>
          </cell>
          <cell r="L992" t="str">
            <v>9.2129</v>
          </cell>
          <cell r="M992" t="str">
            <v>-73.8817</v>
          </cell>
        </row>
        <row r="993">
          <cell r="C993">
            <v>301010</v>
          </cell>
          <cell r="D993" t="str">
            <v>CM VARIEDADES EMMA VICTORIA</v>
          </cell>
          <cell r="E993" t="str">
            <v>S</v>
          </cell>
          <cell r="F993" t="str">
            <v>20770</v>
          </cell>
          <cell r="H993" t="str">
            <v xml:space="preserve">CR 9 #15-39 BARRIO BUENOS AIRES </v>
          </cell>
          <cell r="J993">
            <v>0</v>
          </cell>
          <cell r="L993" t="str">
            <v>8.0025833</v>
          </cell>
          <cell r="M993" t="str">
            <v>-73.51062</v>
          </cell>
        </row>
        <row r="994">
          <cell r="C994">
            <v>17074</v>
          </cell>
          <cell r="D994" t="str">
            <v>PDV LA CEIBA</v>
          </cell>
          <cell r="E994" t="str">
            <v>S</v>
          </cell>
          <cell r="F994" t="str">
            <v>20001</v>
          </cell>
          <cell r="G994" t="str">
            <v xml:space="preserve">PDV </v>
          </cell>
          <cell r="H994" t="str">
            <v>CR||4|D||||#|20||-|4|||</v>
          </cell>
          <cell r="J994">
            <v>120523</v>
          </cell>
          <cell r="L994" t="str">
            <v>10.4647</v>
          </cell>
          <cell r="M994" t="str">
            <v>-73.2526</v>
          </cell>
        </row>
        <row r="995">
          <cell r="C995">
            <v>17504</v>
          </cell>
          <cell r="D995" t="str">
            <v>AMB_MARCEL CASTAÑEDA</v>
          </cell>
          <cell r="E995" t="str">
            <v>S</v>
          </cell>
          <cell r="F995" t="str">
            <v>20001</v>
          </cell>
          <cell r="G995" t="str">
            <v xml:space="preserve">AMB </v>
          </cell>
          <cell r="H995" t="str">
            <v>CR||12|||||#|16||-|42|||</v>
          </cell>
          <cell r="J995">
            <v>120523</v>
          </cell>
        </row>
        <row r="996">
          <cell r="C996">
            <v>18282</v>
          </cell>
          <cell r="D996" t="str">
            <v xml:space="preserve">PDV ESTACIÓN LA ESMERALDA </v>
          </cell>
          <cell r="E996" t="str">
            <v>S</v>
          </cell>
          <cell r="F996" t="str">
            <v>20001</v>
          </cell>
          <cell r="G996" t="str">
            <v xml:space="preserve">PDV </v>
          </cell>
          <cell r="H996" t="str">
            <v>CR||9|||||#|19||-|94|||</v>
          </cell>
          <cell r="J996">
            <v>120523</v>
          </cell>
          <cell r="L996" t="str">
            <v>10.471</v>
          </cell>
          <cell r="M996" t="str">
            <v>-73.2439</v>
          </cell>
        </row>
        <row r="997">
          <cell r="C997">
            <v>21947</v>
          </cell>
          <cell r="D997" t="str">
            <v>CM VARIEDADES LA ESPERANZA</v>
          </cell>
          <cell r="E997" t="str">
            <v>S</v>
          </cell>
          <cell r="F997" t="str">
            <v>20443</v>
          </cell>
          <cell r="G997" t="str">
            <v xml:space="preserve">CM </v>
          </cell>
          <cell r="H997" t="str">
            <v>CL||3|||||#|7||-|145|||</v>
          </cell>
          <cell r="J997">
            <v>120523</v>
          </cell>
          <cell r="L997" t="str">
            <v>10.3912</v>
          </cell>
          <cell r="M997" t="str">
            <v>-73.0302</v>
          </cell>
        </row>
        <row r="998">
          <cell r="C998">
            <v>23751</v>
          </cell>
          <cell r="D998" t="str">
            <v>PDV SANTA RITA</v>
          </cell>
          <cell r="E998" t="str">
            <v>S</v>
          </cell>
          <cell r="F998" t="str">
            <v>20013</v>
          </cell>
          <cell r="G998" t="str">
            <v xml:space="preserve">PDV </v>
          </cell>
          <cell r="H998" t="str">
            <v>CL||13|||||#|10||-|6|||</v>
          </cell>
          <cell r="J998">
            <v>120523</v>
          </cell>
          <cell r="L998" t="str">
            <v>10.034533</v>
          </cell>
          <cell r="M998" t="str">
            <v>-73.229092</v>
          </cell>
        </row>
        <row r="999">
          <cell r="C999">
            <v>13450</v>
          </cell>
          <cell r="D999" t="str">
            <v>PDV LA POPA</v>
          </cell>
          <cell r="E999" t="str">
            <v>S</v>
          </cell>
          <cell r="F999" t="str">
            <v>20001</v>
          </cell>
          <cell r="G999" t="str">
            <v xml:space="preserve">PDV </v>
          </cell>
          <cell r="H999" t="str">
            <v>OT||||||||||||||MZ 12 CASA 3 VILLA TAXI</v>
          </cell>
          <cell r="J999">
            <v>120523</v>
          </cell>
          <cell r="L999" t="str">
            <v>10.4623</v>
          </cell>
          <cell r="M999" t="str">
            <v>-73.2754</v>
          </cell>
        </row>
        <row r="1000">
          <cell r="C1000">
            <v>301519</v>
          </cell>
          <cell r="D1000" t="str">
            <v xml:space="preserve">CM DIOS ES AMOR </v>
          </cell>
          <cell r="E1000" t="str">
            <v>S</v>
          </cell>
          <cell r="F1000" t="str">
            <v>20550</v>
          </cell>
          <cell r="H1000" t="str">
            <v xml:space="preserve">CR 16 #9-91 BRR 2 DE FEBRERO </v>
          </cell>
          <cell r="J1000">
            <v>0</v>
          </cell>
          <cell r="L1000" t="str">
            <v>8.6869</v>
          </cell>
          <cell r="M1000" t="str">
            <v>-73.6719</v>
          </cell>
        </row>
        <row r="1001">
          <cell r="C1001">
            <v>302222</v>
          </cell>
          <cell r="D1001" t="str">
            <v>CM EL CARMEN</v>
          </cell>
          <cell r="E1001" t="str">
            <v>S</v>
          </cell>
          <cell r="F1001" t="str">
            <v>20001</v>
          </cell>
          <cell r="H1001" t="str">
            <v>CR 5 # 6A-81 BARRIO EL CARMEN</v>
          </cell>
          <cell r="J1001">
            <v>0</v>
          </cell>
          <cell r="L1001" t="str">
            <v>10.2259246</v>
          </cell>
          <cell r="M1001" t="str">
            <v>-73.4868302</v>
          </cell>
        </row>
        <row r="1002">
          <cell r="C1002">
            <v>302585</v>
          </cell>
          <cell r="D1002" t="str">
            <v>CM ALEJANDRA</v>
          </cell>
          <cell r="E1002" t="str">
            <v>S</v>
          </cell>
          <cell r="F1002" t="str">
            <v>20060</v>
          </cell>
          <cell r="H1002" t="str">
            <v>CL 23 # 16-22 BARRIO ALTO PRADO</v>
          </cell>
          <cell r="J1002">
            <v>0</v>
          </cell>
          <cell r="L1002" t="str">
            <v>9.9784</v>
          </cell>
          <cell r="M1002" t="str">
            <v>-73.8870</v>
          </cell>
        </row>
        <row r="1003">
          <cell r="C1003">
            <v>300119</v>
          </cell>
          <cell r="D1003" t="str">
            <v>CM LOS MORENO</v>
          </cell>
          <cell r="E1003" t="str">
            <v>S</v>
          </cell>
          <cell r="F1003" t="str">
            <v>20001</v>
          </cell>
          <cell r="H1003" t="str">
            <v>CR 5 # 20C2-6 BARRIO SICARARE</v>
          </cell>
          <cell r="J1003">
            <v>0</v>
          </cell>
          <cell r="L1003" t="str">
            <v>10.46625</v>
          </cell>
          <cell r="M1003" t="str">
            <v>-73.23901</v>
          </cell>
        </row>
        <row r="1004">
          <cell r="C1004">
            <v>301095</v>
          </cell>
          <cell r="D1004" t="str">
            <v>CM BAKARI</v>
          </cell>
          <cell r="E1004" t="str">
            <v>S</v>
          </cell>
          <cell r="F1004" t="str">
            <v>20400</v>
          </cell>
          <cell r="H1004" t="str">
            <v>TV 8 #9-31 BARRIO BELLO HORIZONTE</v>
          </cell>
          <cell r="J1004">
            <v>0</v>
          </cell>
          <cell r="L1004" t="str">
            <v>9.56910</v>
          </cell>
          <cell r="M1004" t="str">
            <v>-73.33527</v>
          </cell>
        </row>
        <row r="1005">
          <cell r="C1005">
            <v>300526</v>
          </cell>
          <cell r="D1005" t="str">
            <v>CM LILISBETH ROMERO DIAZ</v>
          </cell>
          <cell r="E1005" t="str">
            <v>S</v>
          </cell>
          <cell r="F1005" t="str">
            <v>20011</v>
          </cell>
          <cell r="H1005" t="str">
            <v xml:space="preserve">CR 18 # 13-35 </v>
          </cell>
          <cell r="J1005">
            <v>0</v>
          </cell>
          <cell r="L1005" t="str">
            <v>8.30041</v>
          </cell>
          <cell r="M1005" t="str">
            <v>-73.61531</v>
          </cell>
        </row>
        <row r="1006">
          <cell r="C1006">
            <v>300744</v>
          </cell>
          <cell r="D1006" t="str">
            <v>CM VARIEDADES KILIAN</v>
          </cell>
          <cell r="E1006" t="str">
            <v>S</v>
          </cell>
          <cell r="F1006" t="str">
            <v>20400</v>
          </cell>
          <cell r="H1006" t="str">
            <v>MZ 51 C N 10B BARRIO 8 DE MARZO</v>
          </cell>
          <cell r="J1006">
            <v>0</v>
          </cell>
          <cell r="L1006" t="str">
            <v>9.58742833</v>
          </cell>
          <cell r="M1006" t="str">
            <v>-73.23341333</v>
          </cell>
        </row>
        <row r="1007">
          <cell r="C1007">
            <v>300874</v>
          </cell>
          <cell r="D1007" t="str">
            <v>CM EL MACHETE</v>
          </cell>
          <cell r="E1007" t="str">
            <v>S</v>
          </cell>
          <cell r="F1007" t="str">
            <v>20011</v>
          </cell>
          <cell r="H1007" t="str">
            <v>CL 10N # 30-49 BARRIO SAN EDUARDO</v>
          </cell>
          <cell r="J1007">
            <v>0</v>
          </cell>
          <cell r="L1007" t="str">
            <v>8.31656</v>
          </cell>
          <cell r="M1007" t="str">
            <v>-73.60572</v>
          </cell>
        </row>
        <row r="1008">
          <cell r="C1008">
            <v>300050</v>
          </cell>
          <cell r="D1008" t="str">
            <v>CM URBANIZACIÓN VERONA</v>
          </cell>
          <cell r="E1008" t="str">
            <v>S</v>
          </cell>
          <cell r="F1008" t="str">
            <v>20001</v>
          </cell>
          <cell r="H1008" t="str">
            <v>MZ D CASA 1 URB VERONA</v>
          </cell>
          <cell r="J1008">
            <v>0</v>
          </cell>
          <cell r="L1008" t="str">
            <v>10.445357</v>
          </cell>
          <cell r="M1008" t="str">
            <v>-73.263677</v>
          </cell>
        </row>
        <row r="1009">
          <cell r="C1009">
            <v>300051</v>
          </cell>
          <cell r="D1009" t="str">
            <v>CM AINARA</v>
          </cell>
          <cell r="E1009" t="str">
            <v>S</v>
          </cell>
          <cell r="F1009" t="str">
            <v>20032</v>
          </cell>
          <cell r="H1009" t="str">
            <v>CL 4 CR 5-9 BARRIO SAN ISIDRO</v>
          </cell>
          <cell r="J1009">
            <v>0</v>
          </cell>
          <cell r="L1009" t="str">
            <v>9.499488</v>
          </cell>
          <cell r="M1009" t="str">
            <v>-73.979163</v>
          </cell>
        </row>
        <row r="1010">
          <cell r="C1010">
            <v>300529</v>
          </cell>
          <cell r="D1010" t="str">
            <v>CM BLANQUITA</v>
          </cell>
          <cell r="E1010" t="str">
            <v>S</v>
          </cell>
          <cell r="F1010" t="str">
            <v>20710</v>
          </cell>
          <cell r="H1010" t="str">
            <v>CL 1B # 1A-02 BARRIO 1RO DE ABRIL</v>
          </cell>
          <cell r="J1010">
            <v>0</v>
          </cell>
          <cell r="L1010" t="str">
            <v>7.76578768</v>
          </cell>
          <cell r="M1010" t="str">
            <v>-73.388546</v>
          </cell>
        </row>
        <row r="1011">
          <cell r="C1011">
            <v>301576</v>
          </cell>
          <cell r="D1011" t="str">
            <v>CM MILAGROS</v>
          </cell>
          <cell r="E1011" t="str">
            <v>S</v>
          </cell>
          <cell r="F1011" t="str">
            <v>20060</v>
          </cell>
          <cell r="H1011" t="str">
            <v>CR 4 CL 11-15 BARRIO EL CEREZO</v>
          </cell>
          <cell r="J1011">
            <v>0</v>
          </cell>
          <cell r="L1011" t="str">
            <v>10.00845</v>
          </cell>
          <cell r="M1011" t="str">
            <v>-73.70054</v>
          </cell>
        </row>
        <row r="1012">
          <cell r="C1012">
            <v>302144</v>
          </cell>
          <cell r="D1012" t="str">
            <v>CM LOPEZ</v>
          </cell>
          <cell r="E1012" t="str">
            <v>S</v>
          </cell>
          <cell r="F1012" t="str">
            <v>20001</v>
          </cell>
          <cell r="H1012" t="str">
            <v>CL 8 # 2-17 BARRIO EL CARMEN</v>
          </cell>
          <cell r="J1012">
            <v>0</v>
          </cell>
          <cell r="L1012" t="str">
            <v>10.22853</v>
          </cell>
          <cell r="M1012" t="str">
            <v>-73.48539</v>
          </cell>
        </row>
        <row r="1013">
          <cell r="C1013">
            <v>302167</v>
          </cell>
          <cell r="D1013" t="str">
            <v>CM PAPELERIA JIREH</v>
          </cell>
          <cell r="E1013" t="str">
            <v>S</v>
          </cell>
          <cell r="F1013" t="str">
            <v>20400</v>
          </cell>
          <cell r="H1013" t="str">
            <v>TV 10A # 8-31 BARRIO EL PROGRESO</v>
          </cell>
          <cell r="J1013">
            <v>0</v>
          </cell>
          <cell r="L1013" t="str">
            <v>9.568286</v>
          </cell>
          <cell r="M1013" t="str">
            <v>-73.337994</v>
          </cell>
        </row>
        <row r="1014">
          <cell r="C1014">
            <v>7017</v>
          </cell>
          <cell r="D1014" t="str">
            <v>AMBULANTE CLARO LA PAZ</v>
          </cell>
          <cell r="E1014" t="str">
            <v>S</v>
          </cell>
          <cell r="F1014" t="str">
            <v>20621</v>
          </cell>
          <cell r="G1014" t="str">
            <v xml:space="preserve">AMB </v>
          </cell>
          <cell r="H1014" t="str">
            <v>CL||6|||||#|6||-|34|||</v>
          </cell>
          <cell r="J1014">
            <v>0</v>
          </cell>
          <cell r="L1014" t="str">
            <v>10.386577</v>
          </cell>
          <cell r="M1014" t="str">
            <v>-73.170702</v>
          </cell>
        </row>
        <row r="1015">
          <cell r="C1015">
            <v>7064</v>
          </cell>
          <cell r="D1015" t="str">
            <v>AMBULANTE MOVISTAR LA LOMA</v>
          </cell>
          <cell r="E1015" t="str">
            <v>S</v>
          </cell>
          <cell r="F1015" t="str">
            <v>20250</v>
          </cell>
          <cell r="G1015" t="str">
            <v xml:space="preserve">AMB </v>
          </cell>
          <cell r="H1015" t="str">
            <v>CR||4|||||#|4||-|91|||</v>
          </cell>
          <cell r="J1015">
            <v>120523</v>
          </cell>
          <cell r="L1015" t="str">
            <v>9.6204</v>
          </cell>
          <cell r="M1015" t="str">
            <v>-73.5934</v>
          </cell>
        </row>
        <row r="1016">
          <cell r="C1016">
            <v>7085</v>
          </cell>
          <cell r="D1016" t="str">
            <v>AMBULANTE CLARO CHIMICHAGUA</v>
          </cell>
          <cell r="E1016" t="str">
            <v>S</v>
          </cell>
          <cell r="F1016" t="str">
            <v>20175</v>
          </cell>
          <cell r="G1016" t="str">
            <v xml:space="preserve">AMB </v>
          </cell>
          <cell r="H1016" t="str">
            <v>CL||5|||||#|4||-|2|||</v>
          </cell>
          <cell r="J1016">
            <v>120523</v>
          </cell>
          <cell r="L1016" t="str">
            <v>9.256237</v>
          </cell>
          <cell r="M1016" t="str">
            <v>-73.816344</v>
          </cell>
        </row>
        <row r="1017">
          <cell r="C1017">
            <v>7092</v>
          </cell>
          <cell r="D1017" t="str">
            <v>AMBULANTE MOVISTAR CHIRIGUANA</v>
          </cell>
          <cell r="E1017" t="str">
            <v>S</v>
          </cell>
          <cell r="F1017" t="str">
            <v>20178</v>
          </cell>
          <cell r="G1017" t="str">
            <v xml:space="preserve">AMB </v>
          </cell>
          <cell r="H1017" t="str">
            <v>CL||8|||||#|5|A|-|4|||</v>
          </cell>
          <cell r="J1017">
            <v>120523</v>
          </cell>
          <cell r="L1017" t="str">
            <v>9.3641</v>
          </cell>
          <cell r="M1017" t="str">
            <v>-73.6024</v>
          </cell>
        </row>
        <row r="1018">
          <cell r="C1018">
            <v>7182</v>
          </cell>
          <cell r="D1018" t="str">
            <v>CM CORREGIMIENTO LOS ANGELES</v>
          </cell>
          <cell r="E1018" t="str">
            <v>S</v>
          </cell>
          <cell r="F1018" t="str">
            <v>20614</v>
          </cell>
          <cell r="G1018" t="str">
            <v>CM</v>
          </cell>
          <cell r="H1018" t="str">
            <v>CL||7|||||#|9||-|13|||</v>
          </cell>
          <cell r="J1018">
            <v>0</v>
          </cell>
        </row>
        <row r="1019">
          <cell r="C1019">
            <v>7172</v>
          </cell>
          <cell r="D1019" t="str">
            <v xml:space="preserve">CM PUNTO LA Y  </v>
          </cell>
          <cell r="E1019" t="str">
            <v>S</v>
          </cell>
          <cell r="F1019" t="str">
            <v>20250</v>
          </cell>
          <cell r="G1019" t="str">
            <v>CM</v>
          </cell>
          <cell r="H1019" t="str">
            <v>CR||26|||||#|10||-|23|||</v>
          </cell>
          <cell r="J1019">
            <v>0</v>
          </cell>
        </row>
        <row r="1020">
          <cell r="C1020">
            <v>7003</v>
          </cell>
          <cell r="D1020" t="str">
            <v>AMBULANTE TIGO</v>
          </cell>
          <cell r="E1020" t="str">
            <v>S</v>
          </cell>
          <cell r="F1020" t="str">
            <v>20443</v>
          </cell>
          <cell r="G1020" t="str">
            <v xml:space="preserve">AMB </v>
          </cell>
          <cell r="H1020" t="str">
            <v>CL||3|||||#|6|A|-|22|||</v>
          </cell>
          <cell r="J1020">
            <v>0</v>
          </cell>
        </row>
        <row r="1021">
          <cell r="C1021">
            <v>7005</v>
          </cell>
          <cell r="D1021" t="str">
            <v>AMBULANTE CLARO MANAURE</v>
          </cell>
          <cell r="E1021" t="str">
            <v>S</v>
          </cell>
          <cell r="F1021" t="str">
            <v>20443</v>
          </cell>
          <cell r="G1021" t="str">
            <v>AMB</v>
          </cell>
          <cell r="H1021" t="str">
            <v>CL||3|||||#|6|A|-|22|||</v>
          </cell>
          <cell r="J1021">
            <v>0</v>
          </cell>
          <cell r="L1021" t="str">
            <v>10.39131166</v>
          </cell>
          <cell r="M1021" t="str">
            <v>-73.02780333</v>
          </cell>
        </row>
        <row r="1022">
          <cell r="C1022">
            <v>7006</v>
          </cell>
          <cell r="D1022" t="str">
            <v>OFICINA PRINCIPAL MANAURE</v>
          </cell>
          <cell r="E1022" t="str">
            <v>S</v>
          </cell>
          <cell r="F1022" t="str">
            <v>20443</v>
          </cell>
          <cell r="G1022" t="str">
            <v xml:space="preserve">CDA </v>
          </cell>
          <cell r="H1022" t="str">
            <v>CL||3|||||#|6|A|-|22|||</v>
          </cell>
          <cell r="J1022">
            <v>120523</v>
          </cell>
          <cell r="L1022" t="str">
            <v>10.39131166</v>
          </cell>
          <cell r="M1022" t="str">
            <v>-73.02780333</v>
          </cell>
        </row>
        <row r="1023">
          <cell r="C1023">
            <v>7011</v>
          </cell>
          <cell r="D1023" t="str">
            <v>AMBULANTE TIGO AGUACHICA</v>
          </cell>
          <cell r="E1023" t="str">
            <v>S</v>
          </cell>
          <cell r="F1023" t="str">
            <v>20011</v>
          </cell>
          <cell r="G1023" t="str">
            <v xml:space="preserve">AMB </v>
          </cell>
          <cell r="H1023" t="str">
            <v>CL||5|||||#|17||-|39|||</v>
          </cell>
          <cell r="J1023">
            <v>0</v>
          </cell>
          <cell r="L1023" t="str">
            <v>8.310068</v>
          </cell>
          <cell r="M1023" t="str">
            <v>-73.616822</v>
          </cell>
        </row>
        <row r="1024">
          <cell r="C1024">
            <v>7036</v>
          </cell>
          <cell r="D1024" t="str">
            <v>AMBULANTE MOVISTAR SAN MARTIN</v>
          </cell>
          <cell r="E1024" t="str">
            <v>S</v>
          </cell>
          <cell r="F1024" t="str">
            <v>20770</v>
          </cell>
          <cell r="G1024" t="str">
            <v xml:space="preserve">AMB </v>
          </cell>
          <cell r="H1024" t="str">
            <v>CL||15|||||#|7||-|50|||</v>
          </cell>
          <cell r="J1024">
            <v>120523</v>
          </cell>
          <cell r="L1024" t="str">
            <v>8.00211</v>
          </cell>
          <cell r="M1024" t="str">
            <v>-73.51164</v>
          </cell>
        </row>
        <row r="1025">
          <cell r="C1025">
            <v>7073</v>
          </cell>
          <cell r="D1025" t="str">
            <v>AMBULANTE CLARO LA JAGUA</v>
          </cell>
          <cell r="E1025" t="str">
            <v>S</v>
          </cell>
          <cell r="F1025" t="str">
            <v>20400</v>
          </cell>
          <cell r="G1025" t="str">
            <v xml:space="preserve">AMB </v>
          </cell>
          <cell r="H1025" t="str">
            <v>DG||1|||||#|5||-|31|||</v>
          </cell>
          <cell r="J1025">
            <v>120523</v>
          </cell>
          <cell r="L1025" t="str">
            <v>9.5638</v>
          </cell>
          <cell r="M1025" t="str">
            <v>-73.3378</v>
          </cell>
        </row>
        <row r="1026">
          <cell r="C1026">
            <v>7090</v>
          </cell>
          <cell r="D1026" t="str">
            <v>OFICINA PRINCIPAL CURUMANI</v>
          </cell>
          <cell r="E1026" t="str">
            <v>S</v>
          </cell>
          <cell r="F1026" t="str">
            <v>20228</v>
          </cell>
          <cell r="G1026" t="str">
            <v xml:space="preserve">CDA </v>
          </cell>
          <cell r="H1026" t="str">
            <v>CL||8|||||#|14||-|33|||</v>
          </cell>
          <cell r="J1026">
            <v>120523</v>
          </cell>
          <cell r="L1026" t="str">
            <v>9.199663</v>
          </cell>
          <cell r="M1026" t="str">
            <v>-73.543478</v>
          </cell>
        </row>
        <row r="1027">
          <cell r="C1027">
            <v>8619</v>
          </cell>
          <cell r="D1027" t="str">
            <v>CM EL PROGRESO</v>
          </cell>
          <cell r="E1027" t="str">
            <v>S</v>
          </cell>
          <cell r="F1027" t="str">
            <v>20001</v>
          </cell>
          <cell r="G1027" t="str">
            <v>CM</v>
          </cell>
          <cell r="H1027" t="str">
            <v>CL 17  32 - 05</v>
          </cell>
          <cell r="J1027">
            <v>0</v>
          </cell>
        </row>
        <row r="1028">
          <cell r="C1028">
            <v>8926</v>
          </cell>
          <cell r="D1028" t="str">
            <v>CM LOS REYES</v>
          </cell>
          <cell r="E1028" t="str">
            <v>S</v>
          </cell>
          <cell r="F1028" t="str">
            <v>20517</v>
          </cell>
          <cell r="G1028" t="str">
            <v>CM</v>
          </cell>
          <cell r="H1028" t="str">
            <v>CR 4  7 - 62</v>
          </cell>
          <cell r="J1028">
            <v>0</v>
          </cell>
        </row>
        <row r="1029">
          <cell r="C1029">
            <v>8606</v>
          </cell>
          <cell r="D1029" t="str">
            <v>PDV RINCON HONDO</v>
          </cell>
          <cell r="E1029" t="str">
            <v>S</v>
          </cell>
          <cell r="F1029" t="str">
            <v>20178</v>
          </cell>
          <cell r="G1029" t="str">
            <v xml:space="preserve">PDV </v>
          </cell>
          <cell r="H1029" t="str">
            <v>CR||6|||||#|4||-|48|||</v>
          </cell>
          <cell r="J1029">
            <v>120523</v>
          </cell>
          <cell r="L1029" t="str">
            <v>9.3933</v>
          </cell>
          <cell r="M1029" t="str">
            <v>-73.4885</v>
          </cell>
        </row>
        <row r="1030">
          <cell r="C1030">
            <v>8782</v>
          </cell>
          <cell r="D1030" t="str">
            <v>CM PONAL 2</v>
          </cell>
          <cell r="E1030" t="str">
            <v>S</v>
          </cell>
          <cell r="F1030" t="str">
            <v>20001</v>
          </cell>
          <cell r="G1030" t="str">
            <v>CM</v>
          </cell>
          <cell r="H1030" t="str">
            <v>CR  7A  23-139</v>
          </cell>
          <cell r="J1030">
            <v>0</v>
          </cell>
        </row>
        <row r="1031">
          <cell r="C1031">
            <v>8090</v>
          </cell>
          <cell r="D1031" t="str">
            <v>PDV LA VICTORIA</v>
          </cell>
          <cell r="E1031" t="str">
            <v>S</v>
          </cell>
          <cell r="F1031" t="str">
            <v>20001</v>
          </cell>
          <cell r="G1031" t="str">
            <v xml:space="preserve">PDV </v>
          </cell>
          <cell r="H1031" t="str">
            <v>CL||6|||||#|5||-|195|||</v>
          </cell>
          <cell r="J1031">
            <v>120523</v>
          </cell>
          <cell r="L1031" t="str">
            <v>10.4515</v>
          </cell>
          <cell r="M1031" t="str">
            <v>-73.2749</v>
          </cell>
        </row>
        <row r="1032">
          <cell r="C1032">
            <v>8386</v>
          </cell>
          <cell r="D1032" t="str">
            <v>CM MI FUTURO MERCADO</v>
          </cell>
          <cell r="E1032" t="str">
            <v>S</v>
          </cell>
          <cell r="F1032" t="str">
            <v>20001</v>
          </cell>
          <cell r="G1032" t="str">
            <v xml:space="preserve">CM </v>
          </cell>
          <cell r="H1032" t="str">
            <v>CR||15|||||#|20|A|-|1|||</v>
          </cell>
          <cell r="J1032">
            <v>120523</v>
          </cell>
          <cell r="L1032" t="str">
            <v>10.4646</v>
          </cell>
          <cell r="M1032" t="str">
            <v>-73.2477</v>
          </cell>
        </row>
        <row r="1033">
          <cell r="C1033">
            <v>8153</v>
          </cell>
          <cell r="D1033" t="str">
            <v>CM LLANTAS RSP</v>
          </cell>
          <cell r="E1033" t="str">
            <v>S</v>
          </cell>
          <cell r="F1033" t="str">
            <v>20001</v>
          </cell>
          <cell r="G1033" t="str">
            <v>CM</v>
          </cell>
          <cell r="H1033" t="str">
            <v>CR 18D 21-40 1 DE MAYO</v>
          </cell>
          <cell r="J1033">
            <v>0</v>
          </cell>
        </row>
        <row r="1034">
          <cell r="C1034">
            <v>8171</v>
          </cell>
          <cell r="D1034" t="str">
            <v>CM WAPAS Y WAPOS</v>
          </cell>
          <cell r="E1034" t="str">
            <v>S</v>
          </cell>
          <cell r="F1034" t="str">
            <v>20001</v>
          </cell>
          <cell r="G1034" t="str">
            <v>CM</v>
          </cell>
          <cell r="H1034" t="str">
            <v>SECTOR 1 MZ 175-15 DON ALBERTO</v>
          </cell>
          <cell r="J1034">
            <v>0</v>
          </cell>
        </row>
        <row r="1035">
          <cell r="C1035">
            <v>8206</v>
          </cell>
          <cell r="D1035" t="str">
            <v>PDV DIVINO NIÑO</v>
          </cell>
          <cell r="E1035" t="str">
            <v>S</v>
          </cell>
          <cell r="F1035" t="str">
            <v>20001</v>
          </cell>
          <cell r="G1035" t="str">
            <v xml:space="preserve">PDV </v>
          </cell>
          <cell r="H1035" t="str">
            <v>CR||41|||||#|5|C|-|13|||</v>
          </cell>
          <cell r="J1035">
            <v>120523</v>
          </cell>
          <cell r="L1035" t="str">
            <v>10.475643</v>
          </cell>
          <cell r="M1035" t="str">
            <v>-73.27845</v>
          </cell>
        </row>
        <row r="1036">
          <cell r="C1036">
            <v>8346</v>
          </cell>
          <cell r="D1036" t="str">
            <v xml:space="preserve">CM MINITODO </v>
          </cell>
          <cell r="E1036" t="str">
            <v>S</v>
          </cell>
          <cell r="F1036" t="str">
            <v>20001</v>
          </cell>
          <cell r="G1036" t="str">
            <v>CM</v>
          </cell>
          <cell r="H1036" t="str">
            <v>SECTOR 1 MZ 163 - 20</v>
          </cell>
          <cell r="J1036">
            <v>0</v>
          </cell>
        </row>
        <row r="1037">
          <cell r="C1037">
            <v>8683</v>
          </cell>
          <cell r="D1037" t="str">
            <v xml:space="preserve">CM GRANERO LA FLORIDA </v>
          </cell>
          <cell r="E1037" t="str">
            <v>S</v>
          </cell>
          <cell r="F1037" t="str">
            <v>20001</v>
          </cell>
          <cell r="G1037" t="str">
            <v xml:space="preserve">CM </v>
          </cell>
          <cell r="H1037" t="str">
            <v>CL||7|||||#|18|A|-|33|||</v>
          </cell>
          <cell r="J1037">
            <v>120523</v>
          </cell>
          <cell r="L1037" t="str">
            <v>10.4638</v>
          </cell>
          <cell r="M1037" t="str">
            <v>-73.2512</v>
          </cell>
        </row>
        <row r="1038">
          <cell r="C1038">
            <v>8790</v>
          </cell>
          <cell r="D1038" t="str">
            <v xml:space="preserve">PDV BETPLAY LA 17 </v>
          </cell>
          <cell r="E1038" t="str">
            <v>S</v>
          </cell>
          <cell r="F1038" t="str">
            <v>20001</v>
          </cell>
          <cell r="G1038" t="str">
            <v xml:space="preserve">PDV </v>
          </cell>
          <cell r="H1038" t="str">
            <v>CR||15|||||#|9|A|-|5|||</v>
          </cell>
          <cell r="J1038">
            <v>120523</v>
          </cell>
          <cell r="L1038" t="str">
            <v>10.47248</v>
          </cell>
          <cell r="M1038" t="str">
            <v>-73.24614</v>
          </cell>
        </row>
        <row r="1039">
          <cell r="C1039">
            <v>9137</v>
          </cell>
          <cell r="D1039" t="str">
            <v>PDV ALTOS DE GARUPAL</v>
          </cell>
          <cell r="E1039" t="str">
            <v>S</v>
          </cell>
          <cell r="F1039" t="str">
            <v>20001</v>
          </cell>
          <cell r="G1039" t="str">
            <v xml:space="preserve">PDV </v>
          </cell>
          <cell r="H1039" t="str">
            <v>CL||23|||||#|5|C|-|36|||</v>
          </cell>
          <cell r="J1039">
            <v>120523</v>
          </cell>
          <cell r="L1039" t="str">
            <v>10.473799</v>
          </cell>
          <cell r="M1039" t="str">
            <v>-73.265981</v>
          </cell>
        </row>
        <row r="1040">
          <cell r="C1040">
            <v>9217</v>
          </cell>
          <cell r="D1040" t="str">
            <v>AMBULANTE TIGO SAN ROQUE</v>
          </cell>
          <cell r="E1040" t="str">
            <v>S</v>
          </cell>
          <cell r="F1040" t="str">
            <v>20011</v>
          </cell>
          <cell r="G1040" t="str">
            <v xml:space="preserve">AMB </v>
          </cell>
          <cell r="H1040" t="str">
            <v>CL||5|||||#|10||-|56|||</v>
          </cell>
          <cell r="J1040">
            <v>120523</v>
          </cell>
          <cell r="L1040" t="str">
            <v>8.309743</v>
          </cell>
          <cell r="M1040" t="str">
            <v>-73.623722</v>
          </cell>
        </row>
        <row r="1041">
          <cell r="C1041">
            <v>8196</v>
          </cell>
          <cell r="D1041" t="str">
            <v>FERRETERIA BELLA VISTA</v>
          </cell>
          <cell r="E1041" t="str">
            <v>S</v>
          </cell>
          <cell r="F1041" t="str">
            <v>20001</v>
          </cell>
          <cell r="G1041" t="str">
            <v>PDV</v>
          </cell>
          <cell r="H1041" t="str">
            <v>DIAG 21 22-66</v>
          </cell>
          <cell r="J1041">
            <v>0</v>
          </cell>
        </row>
        <row r="1042">
          <cell r="C1042">
            <v>8197</v>
          </cell>
          <cell r="D1042" t="str">
            <v>CM GARUPAL 1 ETAPA</v>
          </cell>
          <cell r="E1042" t="str">
            <v>S</v>
          </cell>
          <cell r="F1042" t="str">
            <v>20001</v>
          </cell>
          <cell r="G1042" t="str">
            <v>CM</v>
          </cell>
          <cell r="H1042" t="str">
            <v>MZ 36 CASA 18</v>
          </cell>
          <cell r="J1042">
            <v>0</v>
          </cell>
        </row>
        <row r="1043">
          <cell r="C1043">
            <v>8252</v>
          </cell>
          <cell r="D1043" t="str">
            <v>CM TIENDA PUNTO AZUL</v>
          </cell>
          <cell r="E1043" t="str">
            <v>S</v>
          </cell>
          <cell r="F1043" t="str">
            <v>20001</v>
          </cell>
          <cell r="G1043" t="str">
            <v>CM</v>
          </cell>
          <cell r="H1043" t="str">
            <v xml:space="preserve">CALLE 7A N 19B - 204 </v>
          </cell>
          <cell r="J1043">
            <v>0</v>
          </cell>
        </row>
        <row r="1044">
          <cell r="C1044">
            <v>8724</v>
          </cell>
          <cell r="D1044" t="str">
            <v>TESORERIA VALLEDUPAR</v>
          </cell>
          <cell r="E1044" t="str">
            <v>S</v>
          </cell>
          <cell r="F1044" t="str">
            <v>20001</v>
          </cell>
          <cell r="G1044" t="str">
            <v xml:space="preserve">SC </v>
          </cell>
          <cell r="J1044">
            <v>0</v>
          </cell>
        </row>
        <row r="1045">
          <cell r="C1045">
            <v>9227</v>
          </cell>
          <cell r="D1045" t="str">
            <v>AMBULANTE TIGO SAN ANTONIO</v>
          </cell>
          <cell r="E1045" t="str">
            <v>S</v>
          </cell>
          <cell r="F1045" t="str">
            <v>20011</v>
          </cell>
          <cell r="G1045" t="str">
            <v xml:space="preserve">AMB </v>
          </cell>
          <cell r="H1045" t="str">
            <v>CR||16|||||#|5||-|20|||</v>
          </cell>
          <cell r="J1045">
            <v>120523</v>
          </cell>
          <cell r="L1045" t="str">
            <v>8.30923</v>
          </cell>
          <cell r="M1045" t="str">
            <v>-73.618025</v>
          </cell>
        </row>
        <row r="1046">
          <cell r="C1046">
            <v>8121</v>
          </cell>
          <cell r="D1046" t="str">
            <v>CM BASE MILITAR EL JUNCAL</v>
          </cell>
          <cell r="E1046" t="str">
            <v>S</v>
          </cell>
          <cell r="F1046" t="str">
            <v>20011</v>
          </cell>
          <cell r="G1046" t="str">
            <v>CM</v>
          </cell>
          <cell r="H1046" t="str">
            <v>CL 17   9 - 40</v>
          </cell>
          <cell r="J1046">
            <v>0</v>
          </cell>
        </row>
        <row r="1047">
          <cell r="C1047">
            <v>8131</v>
          </cell>
          <cell r="D1047" t="str">
            <v>CM EL HOGAR</v>
          </cell>
          <cell r="E1047" t="str">
            <v>S</v>
          </cell>
          <cell r="F1047" t="str">
            <v>20001</v>
          </cell>
          <cell r="G1047" t="str">
            <v>CM</v>
          </cell>
          <cell r="H1047" t="str">
            <v>CL 18A2 36-25 EL HOGAR</v>
          </cell>
          <cell r="J1047">
            <v>0</v>
          </cell>
        </row>
        <row r="1048">
          <cell r="C1048">
            <v>8132</v>
          </cell>
          <cell r="D1048" t="str">
            <v>CM DONDE QUINTERO</v>
          </cell>
          <cell r="E1048" t="str">
            <v>S</v>
          </cell>
          <cell r="F1048" t="str">
            <v>20001</v>
          </cell>
          <cell r="G1048" t="str">
            <v>CM</v>
          </cell>
          <cell r="H1048" t="str">
            <v>CL 12 13-90 SAN JOAQUIN</v>
          </cell>
          <cell r="J1048">
            <v>0</v>
          </cell>
        </row>
        <row r="1049">
          <cell r="C1049">
            <v>8321</v>
          </cell>
          <cell r="D1049" t="str">
            <v xml:space="preserve">CM DROGUERIA CENTRAL </v>
          </cell>
          <cell r="E1049" t="str">
            <v>S</v>
          </cell>
          <cell r="F1049" t="str">
            <v>20178</v>
          </cell>
          <cell r="G1049" t="str">
            <v>CM</v>
          </cell>
          <cell r="H1049" t="str">
            <v>CALLE 7 N 6 - 75</v>
          </cell>
          <cell r="J1049">
            <v>0</v>
          </cell>
        </row>
        <row r="1050">
          <cell r="C1050">
            <v>8324</v>
          </cell>
          <cell r="D1050" t="str">
            <v xml:space="preserve">CM INTERNET MANO DE DIOS </v>
          </cell>
          <cell r="E1050" t="str">
            <v>S</v>
          </cell>
          <cell r="F1050" t="str">
            <v>20787</v>
          </cell>
          <cell r="G1050" t="str">
            <v>CM</v>
          </cell>
          <cell r="H1050" t="str">
            <v>CL 5    5 - 26</v>
          </cell>
          <cell r="J1050">
            <v>0</v>
          </cell>
        </row>
        <row r="1051">
          <cell r="C1051">
            <v>8333</v>
          </cell>
          <cell r="D1051" t="str">
            <v xml:space="preserve">AMBULANTE CLARO SAN DIEGO </v>
          </cell>
          <cell r="E1051" t="str">
            <v>S</v>
          </cell>
          <cell r="F1051" t="str">
            <v>20750</v>
          </cell>
          <cell r="G1051" t="str">
            <v xml:space="preserve">AMB </v>
          </cell>
          <cell r="H1051" t="str">
            <v>CL||4|||||#|8||-|47|||</v>
          </cell>
          <cell r="J1051">
            <v>120523</v>
          </cell>
          <cell r="L1051" t="str">
            <v>10.335776</v>
          </cell>
          <cell r="M1051" t="str">
            <v>-73.178657</v>
          </cell>
        </row>
        <row r="1052">
          <cell r="C1052">
            <v>8338</v>
          </cell>
          <cell r="D1052" t="str">
            <v>AMBULANTE CLARO LA JAGUA</v>
          </cell>
          <cell r="E1052" t="str">
            <v>S</v>
          </cell>
          <cell r="F1052" t="str">
            <v>20400</v>
          </cell>
          <cell r="G1052" t="str">
            <v xml:space="preserve">AMB </v>
          </cell>
          <cell r="H1052" t="str">
            <v>DG||1|||||#|5||-|31|||</v>
          </cell>
          <cell r="J1052">
            <v>120523</v>
          </cell>
          <cell r="L1052" t="str">
            <v>9.5638</v>
          </cell>
          <cell r="M1052" t="str">
            <v>-73.3378</v>
          </cell>
        </row>
        <row r="1053">
          <cell r="C1053">
            <v>8363</v>
          </cell>
          <cell r="D1053" t="str">
            <v xml:space="preserve">CM LA PISTA </v>
          </cell>
          <cell r="E1053" t="str">
            <v>S</v>
          </cell>
          <cell r="F1053" t="str">
            <v>20621</v>
          </cell>
          <cell r="G1053" t="str">
            <v>CM</v>
          </cell>
          <cell r="H1053" t="str">
            <v>CRA 8 CL 11A - 260</v>
          </cell>
          <cell r="J1053">
            <v>0</v>
          </cell>
        </row>
        <row r="1054">
          <cell r="C1054">
            <v>8398</v>
          </cell>
          <cell r="D1054" t="str">
            <v xml:space="preserve">PDV NUEVO GAMARRA </v>
          </cell>
          <cell r="E1054" t="str">
            <v>S</v>
          </cell>
          <cell r="F1054" t="str">
            <v>20295</v>
          </cell>
          <cell r="G1054" t="str">
            <v xml:space="preserve">PDV </v>
          </cell>
          <cell r="H1054" t="str">
            <v>CL||4|||||#|5||-|4|||</v>
          </cell>
          <cell r="J1054">
            <v>120523</v>
          </cell>
          <cell r="L1054" t="str">
            <v>8.32991</v>
          </cell>
          <cell r="M1054" t="str">
            <v>-73.72813</v>
          </cell>
        </row>
        <row r="1055">
          <cell r="C1055">
            <v>8421</v>
          </cell>
          <cell r="D1055" t="str">
            <v>CM STYLE SPORT MAN 2</v>
          </cell>
          <cell r="E1055" t="str">
            <v>S</v>
          </cell>
          <cell r="F1055" t="str">
            <v>20001</v>
          </cell>
          <cell r="G1055" t="str">
            <v>CM</v>
          </cell>
          <cell r="H1055" t="str">
            <v>CL 38  22 - 85</v>
          </cell>
          <cell r="J1055">
            <v>0</v>
          </cell>
        </row>
        <row r="1056">
          <cell r="C1056">
            <v>8427</v>
          </cell>
          <cell r="D1056" t="str">
            <v xml:space="preserve">CM HOTEL CENTRAL </v>
          </cell>
          <cell r="E1056" t="str">
            <v>S</v>
          </cell>
          <cell r="F1056" t="str">
            <v>6979</v>
          </cell>
          <cell r="G1056" t="str">
            <v>CM</v>
          </cell>
          <cell r="H1056" t="str">
            <v>CL 9A  14 - 61</v>
          </cell>
          <cell r="J1056">
            <v>0</v>
          </cell>
        </row>
        <row r="1057">
          <cell r="C1057">
            <v>7139</v>
          </cell>
          <cell r="D1057" t="str">
            <v>CDA OFICINA FUNDADORES</v>
          </cell>
          <cell r="E1057" t="str">
            <v>S</v>
          </cell>
          <cell r="F1057" t="str">
            <v>20001</v>
          </cell>
          <cell r="G1057" t="str">
            <v xml:space="preserve">CDA </v>
          </cell>
          <cell r="H1057" t="str">
            <v>DG||21|||||#|23||-|14|||</v>
          </cell>
          <cell r="J1057">
            <v>120523</v>
          </cell>
          <cell r="L1057" t="str">
            <v>10.4573</v>
          </cell>
          <cell r="M1057" t="str">
            <v>-73.25651</v>
          </cell>
        </row>
        <row r="1058">
          <cell r="C1058">
            <v>8631</v>
          </cell>
          <cell r="D1058" t="str">
            <v>CM LA SIERRITA</v>
          </cell>
          <cell r="E1058" t="str">
            <v>S</v>
          </cell>
          <cell r="F1058" t="str">
            <v>20178</v>
          </cell>
          <cell r="G1058" t="str">
            <v>CM</v>
          </cell>
          <cell r="H1058" t="str">
            <v>CL 4 CRA 2 - 33</v>
          </cell>
          <cell r="J1058">
            <v>0</v>
          </cell>
        </row>
        <row r="1059">
          <cell r="C1059">
            <v>16900</v>
          </cell>
          <cell r="D1059" t="str">
            <v>PDV DON TOBIAS</v>
          </cell>
          <cell r="E1059" t="str">
            <v>S</v>
          </cell>
          <cell r="F1059" t="str">
            <v>20045</v>
          </cell>
          <cell r="G1059" t="str">
            <v xml:space="preserve">PDV </v>
          </cell>
          <cell r="H1059" t="str">
            <v>CL||16|A||||#|10||-|30|||</v>
          </cell>
          <cell r="J1059">
            <v>120523</v>
          </cell>
          <cell r="L1059" t="str">
            <v>9.70179</v>
          </cell>
          <cell r="M1059" t="str">
            <v>-73.28089</v>
          </cell>
        </row>
        <row r="1060">
          <cell r="C1060">
            <v>17127</v>
          </cell>
          <cell r="D1060" t="str">
            <v>CM LA ESTACIÓN</v>
          </cell>
          <cell r="E1060" t="str">
            <v>S</v>
          </cell>
          <cell r="F1060" t="str">
            <v>20295</v>
          </cell>
          <cell r="G1060" t="str">
            <v xml:space="preserve">CM </v>
          </cell>
          <cell r="H1060" t="str">
            <v>CL||8|||||#|11||-|61|||</v>
          </cell>
          <cell r="J1060">
            <v>120523</v>
          </cell>
          <cell r="L1060" t="str">
            <v>8.34225</v>
          </cell>
          <cell r="M1060" t="str">
            <v>-73.71833</v>
          </cell>
        </row>
        <row r="1061">
          <cell r="C1061">
            <v>9190</v>
          </cell>
          <cell r="D1061" t="str">
            <v>PDV CALLE 16</v>
          </cell>
          <cell r="E1061" t="str">
            <v>S</v>
          </cell>
          <cell r="F1061" t="str">
            <v>20001</v>
          </cell>
          <cell r="G1061" t="str">
            <v xml:space="preserve">PDV </v>
          </cell>
          <cell r="H1061" t="str">
            <v>OT||||||||||||||DIG 16A 23-6 FUNDADORES</v>
          </cell>
          <cell r="J1061">
            <v>120523</v>
          </cell>
          <cell r="L1061" t="str">
            <v>10.4675</v>
          </cell>
          <cell r="M1061" t="str">
            <v>-73.26006</v>
          </cell>
        </row>
        <row r="1062">
          <cell r="C1062">
            <v>17274</v>
          </cell>
          <cell r="D1062" t="str">
            <v>PDV LA PIRAGUA</v>
          </cell>
          <cell r="E1062" t="str">
            <v>S</v>
          </cell>
          <cell r="F1062" t="str">
            <v>20175</v>
          </cell>
          <cell r="G1062" t="str">
            <v xml:space="preserve">PDV </v>
          </cell>
          <cell r="H1062" t="str">
            <v>CL||15|||||#|8||-|5|||</v>
          </cell>
          <cell r="J1062">
            <v>120523</v>
          </cell>
          <cell r="L1062" t="str">
            <v>9.2562311</v>
          </cell>
          <cell r="M1062" t="str">
            <v>-73.8163467</v>
          </cell>
        </row>
        <row r="1063">
          <cell r="C1063">
            <v>16902</v>
          </cell>
          <cell r="D1063" t="str">
            <v>PDV LA NOVENA</v>
          </cell>
          <cell r="E1063" t="str">
            <v>S</v>
          </cell>
          <cell r="F1063" t="str">
            <v>20001</v>
          </cell>
          <cell r="G1063" t="str">
            <v xml:space="preserve">PDV </v>
          </cell>
          <cell r="H1063" t="str">
            <v>CL||17|||||#|19||-|2|||</v>
          </cell>
          <cell r="J1063">
            <v>120523</v>
          </cell>
          <cell r="L1063" t="str">
            <v>10.478831</v>
          </cell>
          <cell r="M1063" t="str">
            <v>-73.2500285</v>
          </cell>
        </row>
        <row r="1064">
          <cell r="C1064">
            <v>7119</v>
          </cell>
          <cell r="D1064" t="str">
            <v xml:space="preserve">OLIMPICA CORTIJO CRA19 11-88 </v>
          </cell>
          <cell r="E1064" t="str">
            <v>S</v>
          </cell>
          <cell r="F1064" t="str">
            <v>20001</v>
          </cell>
          <cell r="G1064" t="str">
            <v>CM</v>
          </cell>
          <cell r="H1064" t="str">
            <v>CR||12|||||#|16||-|42|||</v>
          </cell>
          <cell r="J1064">
            <v>120523</v>
          </cell>
          <cell r="L1064" t="str">
            <v>10.475591</v>
          </cell>
          <cell r="M1064" t="str">
            <v>-73.259615</v>
          </cell>
        </row>
        <row r="1065">
          <cell r="C1065">
            <v>20092</v>
          </cell>
          <cell r="D1065" t="str">
            <v>PDV ALGARROBILLO</v>
          </cell>
          <cell r="E1065" t="str">
            <v>S</v>
          </cell>
          <cell r="F1065" t="str">
            <v>20001</v>
          </cell>
          <cell r="G1065" t="str">
            <v xml:space="preserve">PDV </v>
          </cell>
          <cell r="H1065" t="str">
            <v>CR||5|||||#|30|B|-|35|||</v>
          </cell>
          <cell r="J1065">
            <v>120523</v>
          </cell>
          <cell r="L1065" t="str">
            <v>10.4573</v>
          </cell>
          <cell r="M1065" t="str">
            <v>-73.2342</v>
          </cell>
        </row>
        <row r="1066">
          <cell r="C1066">
            <v>20188</v>
          </cell>
          <cell r="D1066" t="str">
            <v>PDV CASD</v>
          </cell>
          <cell r="E1066" t="str">
            <v>S</v>
          </cell>
          <cell r="F1066" t="str">
            <v>20001</v>
          </cell>
          <cell r="G1066" t="str">
            <v xml:space="preserve">PDV </v>
          </cell>
          <cell r="H1066" t="str">
            <v>CR||19|||||#|13BBIS||-|25|||</v>
          </cell>
          <cell r="J1066">
            <v>120523</v>
          </cell>
          <cell r="L1066" t="str">
            <v>10.472501</v>
          </cell>
          <cell r="M1066" t="str">
            <v>-73.258069</v>
          </cell>
        </row>
        <row r="1067">
          <cell r="C1067">
            <v>18221</v>
          </cell>
          <cell r="D1067" t="str">
            <v>PDV CINCO ESQUINA</v>
          </cell>
          <cell r="E1067" t="str">
            <v>S</v>
          </cell>
          <cell r="F1067" t="str">
            <v>20001</v>
          </cell>
          <cell r="G1067" t="str">
            <v xml:space="preserve">PDV </v>
          </cell>
          <cell r="H1067" t="str">
            <v>CL||17|||||#|9||-|105|||</v>
          </cell>
          <cell r="J1067">
            <v>120523</v>
          </cell>
          <cell r="L1067" t="str">
            <v>10.4741</v>
          </cell>
          <cell r="M1067" t="str">
            <v>-73.244</v>
          </cell>
        </row>
        <row r="1068">
          <cell r="C1068">
            <v>20163</v>
          </cell>
          <cell r="D1068" t="str">
            <v>PDV OCTAVA CON 17</v>
          </cell>
          <cell r="E1068" t="str">
            <v>S</v>
          </cell>
          <cell r="F1068" t="str">
            <v>20011</v>
          </cell>
          <cell r="G1068" t="str">
            <v xml:space="preserve">PDV </v>
          </cell>
          <cell r="H1068" t="str">
            <v>CL||7|||||#|18||-|4|||</v>
          </cell>
          <cell r="J1068">
            <v>120523</v>
          </cell>
          <cell r="L1068" t="str">
            <v>8.307185</v>
          </cell>
          <cell r="M1068" t="str">
            <v>-73.616097</v>
          </cell>
        </row>
        <row r="1069">
          <cell r="C1069">
            <v>23795</v>
          </cell>
          <cell r="D1069" t="str">
            <v>CDA VALLEDUPAR SIERRA NEVADA</v>
          </cell>
          <cell r="E1069" t="str">
            <v>S</v>
          </cell>
          <cell r="F1069" t="str">
            <v>20001</v>
          </cell>
          <cell r="G1069" t="str">
            <v xml:space="preserve">CDA </v>
          </cell>
          <cell r="H1069" t="str">
            <v>CL||1|||||#|25||-|67|||</v>
          </cell>
          <cell r="J1069">
            <v>120523</v>
          </cell>
          <cell r="L1069" t="str">
            <v>10.4872348</v>
          </cell>
          <cell r="M1069" t="str">
            <v>-73.27786</v>
          </cell>
        </row>
        <row r="1070">
          <cell r="C1070">
            <v>41139</v>
          </cell>
          <cell r="D1070" t="str">
            <v>CM VALERY</v>
          </cell>
          <cell r="E1070" t="str">
            <v>S</v>
          </cell>
          <cell r="F1070" t="str">
            <v>20013</v>
          </cell>
          <cell r="H1070" t="str">
            <v>CL||11|B||||#|9|A|-|2|||</v>
          </cell>
          <cell r="J1070">
            <v>120523</v>
          </cell>
          <cell r="L1070" t="str">
            <v>10.03168</v>
          </cell>
          <cell r="M1070" t="str">
            <v>-73.22872</v>
          </cell>
        </row>
        <row r="1071">
          <cell r="C1071">
            <v>42480</v>
          </cell>
          <cell r="D1071" t="str">
            <v>PDV NUEVO AMANECER</v>
          </cell>
          <cell r="E1071" t="str">
            <v>S</v>
          </cell>
          <cell r="F1071" t="str">
            <v>20011</v>
          </cell>
          <cell r="H1071" t="str">
            <v>CL||16|A||||#|2|A|-|80|||</v>
          </cell>
          <cell r="J1071">
            <v>120523</v>
          </cell>
          <cell r="L1071" t="str">
            <v>8.292708</v>
          </cell>
          <cell r="M1071" t="str">
            <v>-73.629297</v>
          </cell>
        </row>
        <row r="1072">
          <cell r="C1072">
            <v>39653</v>
          </cell>
          <cell r="D1072" t="str">
            <v xml:space="preserve">CM LOS PANAS #2 </v>
          </cell>
          <cell r="E1072" t="str">
            <v>S</v>
          </cell>
          <cell r="F1072" t="str">
            <v>20228</v>
          </cell>
          <cell r="G1072" t="str">
            <v xml:space="preserve">CM </v>
          </cell>
          <cell r="H1072" t="str">
            <v>CL||8|||||#|13||-|22|||</v>
          </cell>
          <cell r="J1072">
            <v>120523</v>
          </cell>
          <cell r="L1072" t="str">
            <v>9.199912</v>
          </cell>
          <cell r="M1072" t="str">
            <v>-73.540819</v>
          </cell>
        </row>
        <row r="1073">
          <cell r="C1073">
            <v>39800</v>
          </cell>
          <cell r="D1073" t="str">
            <v>PDV MIL DETALLES</v>
          </cell>
          <cell r="E1073" t="str">
            <v>S</v>
          </cell>
          <cell r="F1073" t="str">
            <v>20013</v>
          </cell>
          <cell r="G1073" t="str">
            <v xml:space="preserve">PDV </v>
          </cell>
          <cell r="H1073" t="str">
            <v>CL||22|||||#|24||-|1|||</v>
          </cell>
          <cell r="J1073">
            <v>120523</v>
          </cell>
          <cell r="L1073" t="str">
            <v>10.03801</v>
          </cell>
          <cell r="M1073" t="str">
            <v>-73.24128</v>
          </cell>
        </row>
        <row r="1074">
          <cell r="C1074">
            <v>40307</v>
          </cell>
          <cell r="D1074" t="str">
            <v xml:space="preserve">CM EL REY </v>
          </cell>
          <cell r="E1074" t="str">
            <v>S</v>
          </cell>
          <cell r="F1074" t="str">
            <v>20750</v>
          </cell>
          <cell r="G1074" t="str">
            <v xml:space="preserve">CM </v>
          </cell>
          <cell r="H1074" t="str">
            <v>CL||2|A||||#|8||-|12|||</v>
          </cell>
          <cell r="J1074">
            <v>120523</v>
          </cell>
          <cell r="L1074" t="str">
            <v>10.333</v>
          </cell>
          <cell r="M1074" t="str">
            <v>-73.1798</v>
          </cell>
        </row>
        <row r="1075">
          <cell r="C1075">
            <v>40329</v>
          </cell>
          <cell r="D1075" t="str">
            <v>CM TIENDA LORENA</v>
          </cell>
          <cell r="E1075" t="str">
            <v>S</v>
          </cell>
          <cell r="F1075" t="str">
            <v>20250</v>
          </cell>
          <cell r="G1075" t="str">
            <v xml:space="preserve">CM </v>
          </cell>
          <cell r="H1075" t="str">
            <v>CR||10|||||#|4|B|-|90|||</v>
          </cell>
          <cell r="J1075">
            <v>120523</v>
          </cell>
          <cell r="L1075" t="str">
            <v>9.6162</v>
          </cell>
          <cell r="M1075" t="str">
            <v>-73.591</v>
          </cell>
        </row>
        <row r="1076">
          <cell r="C1076">
            <v>40506</v>
          </cell>
          <cell r="D1076" t="str">
            <v>PDV LOS VENADOS1</v>
          </cell>
          <cell r="E1076" t="str">
            <v>S</v>
          </cell>
          <cell r="F1076" t="str">
            <v>20060</v>
          </cell>
          <cell r="G1076" t="str">
            <v xml:space="preserve">PDV </v>
          </cell>
          <cell r="H1076" t="str">
            <v>CR||4|||||#|4||-|46|||</v>
          </cell>
          <cell r="J1076">
            <v>120523</v>
          </cell>
          <cell r="L1076" t="str">
            <v>10.0114562</v>
          </cell>
          <cell r="M1076" t="str">
            <v>-73.70131838</v>
          </cell>
        </row>
        <row r="1077">
          <cell r="C1077">
            <v>40675</v>
          </cell>
          <cell r="D1077" t="str">
            <v xml:space="preserve">CM MARIA CELESTE </v>
          </cell>
          <cell r="E1077" t="str">
            <v>S</v>
          </cell>
          <cell r="F1077" t="str">
            <v>20001</v>
          </cell>
          <cell r="G1077" t="str">
            <v xml:space="preserve">CM </v>
          </cell>
          <cell r="H1077" t="str">
            <v>DG||18|D||||#|24||-|62|||</v>
          </cell>
          <cell r="J1077">
            <v>120523</v>
          </cell>
          <cell r="L1077" t="str">
            <v>10.457845</v>
          </cell>
          <cell r="M1077" t="str">
            <v>-73.260876</v>
          </cell>
        </row>
        <row r="1078">
          <cell r="C1078">
            <v>42550</v>
          </cell>
          <cell r="D1078" t="str">
            <v>CM CELUCIONES</v>
          </cell>
          <cell r="E1078" t="str">
            <v>S</v>
          </cell>
          <cell r="F1078" t="str">
            <v>20001</v>
          </cell>
          <cell r="H1078" t="str">
            <v>CR||12|||||#|16|A|-|5|||</v>
          </cell>
          <cell r="J1078">
            <v>120523</v>
          </cell>
          <cell r="L1078" t="str">
            <v>10.4726</v>
          </cell>
          <cell r="M1078" t="str">
            <v>-73.2489</v>
          </cell>
        </row>
        <row r="1079">
          <cell r="C1079">
            <v>42567</v>
          </cell>
          <cell r="D1079" t="str">
            <v>TAT EL MAMEY</v>
          </cell>
          <cell r="E1079" t="str">
            <v>S</v>
          </cell>
          <cell r="F1079" t="str">
            <v>20228</v>
          </cell>
          <cell r="H1079" t="str">
            <v>CL||2|||||#|2||-|395|||</v>
          </cell>
          <cell r="J1079">
            <v>120523</v>
          </cell>
          <cell r="L1079" t="str">
            <v>9.248742</v>
          </cell>
          <cell r="M1079" t="str">
            <v>-73.616698</v>
          </cell>
        </row>
        <row r="1080">
          <cell r="C1080">
            <v>40729</v>
          </cell>
          <cell r="D1080" t="str">
            <v xml:space="preserve">PDV SECTOR 1 POPULANDIA </v>
          </cell>
          <cell r="E1080" t="str">
            <v>S</v>
          </cell>
          <cell r="F1080" t="str">
            <v>20001</v>
          </cell>
          <cell r="G1080" t="str">
            <v xml:space="preserve">PDV </v>
          </cell>
          <cell r="H1080" t="str">
            <v xml:space="preserve">OT||||||||||||||MZ 5 CASA 1 POPULANDIA </v>
          </cell>
          <cell r="J1080">
            <v>120523</v>
          </cell>
          <cell r="L1080" t="str">
            <v>10.447148</v>
          </cell>
          <cell r="M1080" t="str">
            <v>-73.278276</v>
          </cell>
        </row>
        <row r="1081">
          <cell r="C1081">
            <v>42503</v>
          </cell>
          <cell r="D1081" t="str">
            <v>CM DROGUERIA VALLE SALUD</v>
          </cell>
          <cell r="E1081" t="str">
            <v>S</v>
          </cell>
          <cell r="F1081" t="str">
            <v>20001</v>
          </cell>
          <cell r="H1081" t="str">
            <v>CR||18|E||||#|35||-|6|||</v>
          </cell>
          <cell r="J1081">
            <v>120523</v>
          </cell>
          <cell r="L1081" t="str">
            <v>10.4521</v>
          </cell>
          <cell r="M1081" t="str">
            <v>-73.2474</v>
          </cell>
        </row>
        <row r="1082">
          <cell r="C1082">
            <v>42506</v>
          </cell>
          <cell r="D1082" t="str">
            <v>PDV DONDE FRANKLIN</v>
          </cell>
          <cell r="E1082" t="str">
            <v>S</v>
          </cell>
          <cell r="F1082" t="str">
            <v>20001</v>
          </cell>
          <cell r="H1082" t="str">
            <v>CR||22|||||#|24||-|2|||</v>
          </cell>
          <cell r="J1082">
            <v>120523</v>
          </cell>
          <cell r="L1082" t="str">
            <v>10.4567</v>
          </cell>
          <cell r="M1082" t="str">
            <v>-73.2545</v>
          </cell>
        </row>
        <row r="1083">
          <cell r="C1083">
            <v>42605</v>
          </cell>
          <cell r="D1083" t="str">
            <v>PDV ALTO PRADO</v>
          </cell>
          <cell r="E1083" t="str">
            <v>S</v>
          </cell>
          <cell r="F1083" t="str">
            <v>20228</v>
          </cell>
          <cell r="H1083" t="str">
            <v>CL||11|||||#|2|D|-|38|||</v>
          </cell>
          <cell r="J1083">
            <v>120523</v>
          </cell>
          <cell r="L1083" t="str">
            <v>9.199072</v>
          </cell>
          <cell r="M1083" t="str">
            <v>-73.528457</v>
          </cell>
        </row>
        <row r="1084">
          <cell r="C1084">
            <v>43378</v>
          </cell>
          <cell r="D1084" t="str">
            <v>CM VARIEDADES EMMANUEL</v>
          </cell>
          <cell r="E1084" t="str">
            <v>S</v>
          </cell>
          <cell r="F1084" t="str">
            <v>20383</v>
          </cell>
          <cell r="H1084" t="str">
            <v>OT||||||||||||||KDX 120 LA MATA</v>
          </cell>
          <cell r="J1084">
            <v>120523</v>
          </cell>
          <cell r="L1084" t="str">
            <v>8.608972</v>
          </cell>
          <cell r="M1084" t="str">
            <v>-73.635985</v>
          </cell>
        </row>
        <row r="1085">
          <cell r="C1085">
            <v>43425</v>
          </cell>
          <cell r="D1085" t="str">
            <v>PDV RAFAEL PUPO</v>
          </cell>
          <cell r="E1085" t="str">
            <v>S</v>
          </cell>
          <cell r="F1085" t="str">
            <v>20001</v>
          </cell>
          <cell r="H1085" t="str">
            <v>CL||7|A||||#|19|A|-|65|||</v>
          </cell>
          <cell r="J1085">
            <v>120523</v>
          </cell>
          <cell r="L1085" t="str">
            <v>10.481245</v>
          </cell>
          <cell r="M1085" t="str">
            <v>-73.263265</v>
          </cell>
        </row>
        <row r="1086">
          <cell r="C1086">
            <v>9136</v>
          </cell>
          <cell r="D1086" t="str">
            <v>PDV CANCHA 5 DE ENERO</v>
          </cell>
          <cell r="E1086" t="str">
            <v>S</v>
          </cell>
          <cell r="F1086" t="str">
            <v>20001</v>
          </cell>
          <cell r="G1086" t="str">
            <v xml:space="preserve">PDV </v>
          </cell>
          <cell r="H1086" t="str">
            <v>CR||30|||||#|7|A|-|109|||</v>
          </cell>
          <cell r="J1086">
            <v>120523</v>
          </cell>
          <cell r="L1086" t="str">
            <v>10.475363</v>
          </cell>
          <cell r="M1086" t="str">
            <v>-73.274003</v>
          </cell>
        </row>
        <row r="1087">
          <cell r="C1087">
            <v>40615</v>
          </cell>
          <cell r="D1087" t="str">
            <v>CM EL PROGRESO MILITARES</v>
          </cell>
          <cell r="E1087" t="str">
            <v>S</v>
          </cell>
          <cell r="F1087" t="str">
            <v>20001</v>
          </cell>
          <cell r="G1087" t="str">
            <v xml:space="preserve">CM </v>
          </cell>
          <cell r="H1087" t="str">
            <v>CL||7BIS1|||||#|31||-|54|||</v>
          </cell>
          <cell r="J1087">
            <v>120523</v>
          </cell>
          <cell r="L1087" t="str">
            <v>10.455422</v>
          </cell>
          <cell r="M1087" t="str">
            <v>-73.270318</v>
          </cell>
        </row>
        <row r="1088">
          <cell r="C1088">
            <v>44815</v>
          </cell>
          <cell r="D1088" t="str">
            <v xml:space="preserve">AMBULANTE MOVISTAR SAN ROQUE </v>
          </cell>
          <cell r="E1088" t="str">
            <v>S</v>
          </cell>
          <cell r="F1088" t="str">
            <v>20228</v>
          </cell>
          <cell r="H1088" t="str">
            <v>CL||8|||||#|14||-|33|||</v>
          </cell>
          <cell r="J1088">
            <v>120523</v>
          </cell>
          <cell r="L1088" t="str">
            <v>9.288</v>
          </cell>
          <cell r="M1088" t="str">
            <v>-73.51113</v>
          </cell>
        </row>
        <row r="1089">
          <cell r="C1089">
            <v>45144</v>
          </cell>
          <cell r="D1089" t="str">
            <v>CM RECARGAS MARGARITA</v>
          </cell>
          <cell r="E1089" t="str">
            <v>S</v>
          </cell>
          <cell r="F1089" t="str">
            <v>20001</v>
          </cell>
          <cell r="H1089" t="str">
            <v>DG||20|||||#|4|A|-|4|||</v>
          </cell>
          <cell r="J1089">
            <v>120523</v>
          </cell>
          <cell r="L1089" t="str">
            <v>10.4658</v>
          </cell>
          <cell r="M1089" t="str">
            <v>-73.2343</v>
          </cell>
        </row>
        <row r="1090">
          <cell r="C1090">
            <v>45146</v>
          </cell>
          <cell r="D1090" t="str">
            <v>CM LA ESPECIAL</v>
          </cell>
          <cell r="E1090" t="str">
            <v>S</v>
          </cell>
          <cell r="F1090" t="str">
            <v>20011</v>
          </cell>
          <cell r="H1090" t="str">
            <v>CR||10|B||||#|9||-|69|||</v>
          </cell>
          <cell r="J1090">
            <v>120523</v>
          </cell>
          <cell r="L1090" t="str">
            <v>8.3038347</v>
          </cell>
          <cell r="M1090" t="str">
            <v>-73.6227045</v>
          </cell>
        </row>
        <row r="1091">
          <cell r="C1091">
            <v>44262</v>
          </cell>
          <cell r="D1091" t="str">
            <v xml:space="preserve">CM APUESTA LA MONA </v>
          </cell>
          <cell r="E1091" t="str">
            <v>S</v>
          </cell>
          <cell r="F1091" t="str">
            <v>20001</v>
          </cell>
          <cell r="H1091" t="str">
            <v>CR||1|A||||#|20|B|-|76|||</v>
          </cell>
          <cell r="J1091">
            <v>120523</v>
          </cell>
          <cell r="L1091" t="str">
            <v>10.4655</v>
          </cell>
          <cell r="M1091" t="str">
            <v>-73.2434</v>
          </cell>
        </row>
        <row r="1092">
          <cell r="C1092">
            <v>46893</v>
          </cell>
          <cell r="D1092" t="str">
            <v>BODEGA VALLEDUPAR</v>
          </cell>
          <cell r="E1092" t="str">
            <v>S</v>
          </cell>
          <cell r="F1092" t="str">
            <v>20001</v>
          </cell>
          <cell r="G1092" t="str">
            <v>CDA</v>
          </cell>
          <cell r="H1092" t="str">
            <v>CR||12|||||#|16||-|42|||</v>
          </cell>
          <cell r="J1092">
            <v>0</v>
          </cell>
          <cell r="L1092" t="str">
            <v>10.473047</v>
          </cell>
          <cell r="M1092" t="str">
            <v>-73.249477</v>
          </cell>
        </row>
        <row r="1093">
          <cell r="C1093">
            <v>47087</v>
          </cell>
          <cell r="D1093" t="str">
            <v>AMBULANTE BOSCONIA CLARO</v>
          </cell>
          <cell r="E1093" t="str">
            <v>S</v>
          </cell>
          <cell r="F1093" t="str">
            <v>20060</v>
          </cell>
          <cell r="H1093" t="str">
            <v>CR 18 # 16-68</v>
          </cell>
          <cell r="J1093">
            <v>0</v>
          </cell>
          <cell r="L1093" t="str">
            <v>9.9723</v>
          </cell>
          <cell r="M1093" t="str">
            <v>-73.8858</v>
          </cell>
        </row>
        <row r="1094">
          <cell r="C1094">
            <v>47125</v>
          </cell>
          <cell r="D1094" t="str">
            <v>AMBULANTE LA GLORIA MOVISTAR</v>
          </cell>
          <cell r="E1094" t="str">
            <v>S</v>
          </cell>
          <cell r="F1094" t="str">
            <v>20383</v>
          </cell>
          <cell r="J1094">
            <v>0</v>
          </cell>
          <cell r="L1094" t="str">
            <v>8.617435</v>
          </cell>
          <cell r="M1094" t="str">
            <v>-73.803569</v>
          </cell>
        </row>
        <row r="1095">
          <cell r="C1095">
            <v>47138</v>
          </cell>
          <cell r="D1095" t="str">
            <v>AMBULANTE GAMARRA CLARO</v>
          </cell>
          <cell r="E1095" t="str">
            <v>S</v>
          </cell>
          <cell r="F1095" t="str">
            <v>20295</v>
          </cell>
          <cell r="H1095" t="str">
            <v>CL 7 # 7-40</v>
          </cell>
          <cell r="J1095">
            <v>0</v>
          </cell>
          <cell r="L1095" t="str">
            <v>8.32344</v>
          </cell>
          <cell r="M1095" t="str">
            <v>-73.74112</v>
          </cell>
        </row>
        <row r="1096">
          <cell r="C1096">
            <v>47145</v>
          </cell>
          <cell r="D1096" t="str">
            <v>AMBULANTE ASTREA TIGO</v>
          </cell>
          <cell r="E1096" t="str">
            <v>S</v>
          </cell>
          <cell r="F1096" t="str">
            <v>20032</v>
          </cell>
          <cell r="H1096" t="str">
            <v>CL 7 # 3-76</v>
          </cell>
          <cell r="J1096">
            <v>0</v>
          </cell>
          <cell r="L1096" t="str">
            <v>9.4979</v>
          </cell>
          <cell r="M1096" t="str">
            <v>-73.9779</v>
          </cell>
        </row>
        <row r="1097">
          <cell r="C1097">
            <v>21887</v>
          </cell>
          <cell r="D1097" t="str">
            <v>PDV VILLA TAXI</v>
          </cell>
          <cell r="E1097" t="str">
            <v>S</v>
          </cell>
          <cell r="F1097" t="str">
            <v>20001</v>
          </cell>
          <cell r="G1097" t="str">
            <v xml:space="preserve">PDV </v>
          </cell>
          <cell r="H1097" t="str">
            <v>CL||18A2|||||#|1||-|8|||</v>
          </cell>
          <cell r="J1097">
            <v>120523</v>
          </cell>
          <cell r="L1097" t="str">
            <v>10.45005</v>
          </cell>
          <cell r="M1097" t="str">
            <v>-73.275928</v>
          </cell>
        </row>
        <row r="1098">
          <cell r="C1098">
            <v>44359</v>
          </cell>
          <cell r="D1098" t="str">
            <v xml:space="preserve">CM MAYALES </v>
          </cell>
          <cell r="E1098" t="str">
            <v>S</v>
          </cell>
          <cell r="F1098" t="str">
            <v>20001</v>
          </cell>
          <cell r="H1098" t="str">
            <v>CL||31|||||#|6 BIS||-|61|||</v>
          </cell>
          <cell r="J1098">
            <v>120523</v>
          </cell>
          <cell r="L1098" t="str">
            <v>10.456</v>
          </cell>
          <cell r="M1098" t="str">
            <v>-73.2401</v>
          </cell>
        </row>
        <row r="1099">
          <cell r="C1099">
            <v>44636</v>
          </cell>
          <cell r="D1099" t="str">
            <v>CM ECONOMIA LA 28</v>
          </cell>
          <cell r="E1099" t="str">
            <v>S</v>
          </cell>
          <cell r="F1099" t="str">
            <v>20001</v>
          </cell>
          <cell r="H1099" t="str">
            <v>CR||16|||||#|28||-|06|||</v>
          </cell>
          <cell r="J1099">
            <v>120523</v>
          </cell>
          <cell r="L1099" t="str">
            <v>10.45775</v>
          </cell>
          <cell r="M1099" t="str">
            <v>-73.24673</v>
          </cell>
        </row>
        <row r="1100">
          <cell r="C1100">
            <v>44901</v>
          </cell>
          <cell r="D1100" t="str">
            <v xml:space="preserve">CM SALOME </v>
          </cell>
          <cell r="E1100" t="str">
            <v>S</v>
          </cell>
          <cell r="F1100" t="str">
            <v>20060</v>
          </cell>
          <cell r="H1100" t="str">
            <v>CL||20|||||#|13|A|-|13|||</v>
          </cell>
          <cell r="J1100">
            <v>120523</v>
          </cell>
          <cell r="L1100" t="str">
            <v>9.9796</v>
          </cell>
          <cell r="M1100" t="str">
            <v>-73.8839</v>
          </cell>
        </row>
        <row r="1101">
          <cell r="C1101">
            <v>44906</v>
          </cell>
          <cell r="D1101" t="str">
            <v>CM BONILLA</v>
          </cell>
          <cell r="E1101" t="str">
            <v>S</v>
          </cell>
          <cell r="F1101" t="str">
            <v>20011</v>
          </cell>
          <cell r="H1101" t="str">
            <v>CL||9|||||#|48|A|-|27|||</v>
          </cell>
          <cell r="J1101">
            <v>120523</v>
          </cell>
          <cell r="L1101" t="str">
            <v>8.319722</v>
          </cell>
          <cell r="M1101" t="str">
            <v>-73.5922</v>
          </cell>
        </row>
        <row r="1102">
          <cell r="C1102">
            <v>44934</v>
          </cell>
          <cell r="D1102" t="str">
            <v xml:space="preserve">CM VILLARREAL </v>
          </cell>
          <cell r="E1102" t="str">
            <v>S</v>
          </cell>
          <cell r="F1102" t="str">
            <v>20710</v>
          </cell>
          <cell r="H1102" t="str">
            <v>OT||||||||||||||CL 2 MZ F LOTE 25</v>
          </cell>
          <cell r="J1102">
            <v>120523</v>
          </cell>
          <cell r="L1102" t="str">
            <v>7.77633</v>
          </cell>
          <cell r="M1102" t="str">
            <v>-73.40338</v>
          </cell>
        </row>
        <row r="1103">
          <cell r="C1103">
            <v>45171</v>
          </cell>
          <cell r="D1103" t="str">
            <v>PDV LA TRONCAL</v>
          </cell>
          <cell r="E1103" t="str">
            <v>S</v>
          </cell>
          <cell r="F1103" t="str">
            <v>20250</v>
          </cell>
          <cell r="H1103" t="str">
            <v>CL||7|||||#|31||-|43|||</v>
          </cell>
          <cell r="J1103">
            <v>120523</v>
          </cell>
          <cell r="L1103" t="str">
            <v>9.6084</v>
          </cell>
          <cell r="M1103" t="str">
            <v>-73.6121</v>
          </cell>
        </row>
        <row r="1104">
          <cell r="C1104">
            <v>45210</v>
          </cell>
          <cell r="D1104" t="str">
            <v>CM TIENDA LA FLACA</v>
          </cell>
          <cell r="E1104" t="str">
            <v>S</v>
          </cell>
          <cell r="F1104" t="str">
            <v>20001</v>
          </cell>
          <cell r="H1104" t="str">
            <v>OT||||||||||||||VIA AL RIO LA MEZA</v>
          </cell>
          <cell r="J1104">
            <v>120523</v>
          </cell>
          <cell r="L1104" t="str">
            <v>10.431067</v>
          </cell>
          <cell r="M1104" t="str">
            <v>-73.392395</v>
          </cell>
        </row>
        <row r="1105">
          <cell r="C1105">
            <v>8284</v>
          </cell>
          <cell r="D1105" t="str">
            <v>PDV DONDE YOLI</v>
          </cell>
          <cell r="E1105" t="str">
            <v>S</v>
          </cell>
          <cell r="F1105" t="str">
            <v>20060</v>
          </cell>
          <cell r="G1105" t="str">
            <v xml:space="preserve">PDV </v>
          </cell>
          <cell r="H1105" t="str">
            <v>CR||18|||||#|18||-|11|||</v>
          </cell>
          <cell r="J1105">
            <v>120523</v>
          </cell>
          <cell r="L1105" t="str">
            <v>9.9714</v>
          </cell>
          <cell r="M1105" t="str">
            <v>-73.8882</v>
          </cell>
        </row>
        <row r="1106">
          <cell r="C1106">
            <v>47110</v>
          </cell>
          <cell r="D1106" t="str">
            <v>AMBULANTE PAILITAS MOVISTAR</v>
          </cell>
          <cell r="E1106" t="str">
            <v>S</v>
          </cell>
          <cell r="F1106" t="str">
            <v>20517</v>
          </cell>
          <cell r="H1106" t="str">
            <v>CR 6 # 5-67</v>
          </cell>
          <cell r="J1106">
            <v>0</v>
          </cell>
          <cell r="L1106" t="str">
            <v>8.95657</v>
          </cell>
          <cell r="M1106" t="str">
            <v>-73.6241</v>
          </cell>
        </row>
        <row r="1107">
          <cell r="C1107">
            <v>47919</v>
          </cell>
          <cell r="D1107" t="str">
            <v>CM JARFERSERVICIOS</v>
          </cell>
          <cell r="E1107" t="str">
            <v>S</v>
          </cell>
          <cell r="F1107" t="str">
            <v>20250</v>
          </cell>
          <cell r="H1107" t="str">
            <v>CL 3 # 5-63 APTO 1 CENTRO</v>
          </cell>
          <cell r="J1107">
            <v>0</v>
          </cell>
          <cell r="L1107" t="str">
            <v>9.6605</v>
          </cell>
          <cell r="M1107" t="str">
            <v>-73.7485</v>
          </cell>
        </row>
        <row r="1108">
          <cell r="C1108">
            <v>47916</v>
          </cell>
          <cell r="D1108" t="str">
            <v>CM TIENDA FAMILIAR</v>
          </cell>
          <cell r="E1108" t="str">
            <v>S</v>
          </cell>
          <cell r="F1108" t="str">
            <v>20228</v>
          </cell>
          <cell r="H1108" t="str">
            <v>CL 9 # 18-02 BARRIO SAN JOSE</v>
          </cell>
          <cell r="J1108">
            <v>0</v>
          </cell>
          <cell r="L1108" t="str">
            <v>9.201965</v>
          </cell>
          <cell r="M1108" t="str">
            <v>-73.545452</v>
          </cell>
        </row>
        <row r="1109">
          <cell r="C1109">
            <v>45198</v>
          </cell>
          <cell r="D1109" t="str">
            <v>PDV ANTIGUO CDA CHIMICHAGUA</v>
          </cell>
          <cell r="E1109" t="str">
            <v>S</v>
          </cell>
          <cell r="F1109" t="str">
            <v>20175</v>
          </cell>
          <cell r="H1109" t="str">
            <v>CL||5|||||#|4||-|5|||</v>
          </cell>
          <cell r="J1109">
            <v>120523</v>
          </cell>
          <cell r="L1109" t="str">
            <v>9.253428</v>
          </cell>
          <cell r="M1109" t="str">
            <v>-73.813145</v>
          </cell>
        </row>
        <row r="1110">
          <cell r="C1110">
            <v>46271</v>
          </cell>
          <cell r="D1110" t="str">
            <v>CM 7 DE MAYO</v>
          </cell>
          <cell r="E1110" t="str">
            <v>S</v>
          </cell>
          <cell r="F1110" t="str">
            <v>20383</v>
          </cell>
          <cell r="H1110" t="str">
            <v>CL||6|||||#|4||-|53|||</v>
          </cell>
          <cell r="J1110">
            <v>260523</v>
          </cell>
          <cell r="L1110" t="str">
            <v>8.622362</v>
          </cell>
          <cell r="M1110" t="str">
            <v>-73.802885</v>
          </cell>
        </row>
        <row r="1111">
          <cell r="C1111">
            <v>47083</v>
          </cell>
          <cell r="D1111" t="str">
            <v>AMBULANTE AGUACHICA MOVISTAR</v>
          </cell>
          <cell r="E1111" t="str">
            <v>S</v>
          </cell>
          <cell r="F1111" t="str">
            <v>20011</v>
          </cell>
          <cell r="H1111" t="str">
            <v>CL 5 # 17-39</v>
          </cell>
          <cell r="J1111">
            <v>0</v>
          </cell>
          <cell r="L1111" t="str">
            <v>8.310068</v>
          </cell>
          <cell r="M1111" t="str">
            <v>-73.616822</v>
          </cell>
        </row>
        <row r="1112">
          <cell r="C1112">
            <v>47142</v>
          </cell>
          <cell r="D1112" t="str">
            <v>AMBULANTE MANAURE TIGO</v>
          </cell>
          <cell r="E1112" t="str">
            <v>S</v>
          </cell>
          <cell r="F1112" t="str">
            <v>20443</v>
          </cell>
          <cell r="H1112" t="str">
            <v>CL 3 # 6A-22</v>
          </cell>
          <cell r="J1112">
            <v>0</v>
          </cell>
          <cell r="L1112" t="str">
            <v>10.39131166</v>
          </cell>
          <cell r="M1112" t="str">
            <v>-73.02780333</v>
          </cell>
        </row>
        <row r="1113">
          <cell r="C1113">
            <v>47143</v>
          </cell>
          <cell r="D1113" t="str">
            <v>AMBULANTE MANAURE MOVISTAR</v>
          </cell>
          <cell r="E1113" t="str">
            <v>S</v>
          </cell>
          <cell r="F1113" t="str">
            <v>20443</v>
          </cell>
          <cell r="H1113" t="str">
            <v>CL 3 # 6A-22</v>
          </cell>
          <cell r="J1113">
            <v>0</v>
          </cell>
          <cell r="L1113" t="str">
            <v>10.39131166</v>
          </cell>
          <cell r="M1113" t="str">
            <v>-73.02780333</v>
          </cell>
        </row>
        <row r="1114">
          <cell r="C1114">
            <v>250022</v>
          </cell>
          <cell r="D1114" t="str">
            <v>CM LA 10 .1</v>
          </cell>
          <cell r="E1114" t="str">
            <v>S</v>
          </cell>
          <cell r="F1114" t="str">
            <v>20013</v>
          </cell>
          <cell r="H1114" t="str">
            <v xml:space="preserve">CALLE 10 # 11 - 03 BARRIO AIDA QUINTERO </v>
          </cell>
          <cell r="J1114">
            <v>0</v>
          </cell>
          <cell r="L1114" t="str">
            <v>10.028012</v>
          </cell>
          <cell r="M1114" t="str">
            <v>-73.230231</v>
          </cell>
        </row>
        <row r="1115">
          <cell r="C1115">
            <v>44800</v>
          </cell>
          <cell r="D1115" t="str">
            <v xml:space="preserve">PDV CENTRO GOBERNACION </v>
          </cell>
          <cell r="E1115" t="str">
            <v>S</v>
          </cell>
          <cell r="F1115" t="str">
            <v>20001</v>
          </cell>
          <cell r="H1115" t="str">
            <v>CL||16|||||#|12||-|15|||</v>
          </cell>
          <cell r="J1115">
            <v>120523</v>
          </cell>
          <cell r="L1115" t="str">
            <v>10.4733</v>
          </cell>
          <cell r="M1115" t="str">
            <v>-73.2498</v>
          </cell>
        </row>
        <row r="1116">
          <cell r="C1116">
            <v>44342</v>
          </cell>
          <cell r="D1116" t="str">
            <v xml:space="preserve">CM CHAVA </v>
          </cell>
          <cell r="E1116" t="str">
            <v>S</v>
          </cell>
          <cell r="F1116" t="str">
            <v>20228</v>
          </cell>
          <cell r="H1116" t="str">
            <v>CR||3|||||#|10||-|04|||</v>
          </cell>
          <cell r="J1116">
            <v>120523</v>
          </cell>
          <cell r="L1116" t="str">
            <v>9.286922</v>
          </cell>
          <cell r="M1116" t="str">
            <v>-73.511557</v>
          </cell>
        </row>
        <row r="1117">
          <cell r="C1117">
            <v>45139</v>
          </cell>
          <cell r="D1117" t="str">
            <v>PDV PARAISO</v>
          </cell>
          <cell r="E1117" t="str">
            <v>S</v>
          </cell>
          <cell r="F1117" t="str">
            <v>20011</v>
          </cell>
          <cell r="H1117" t="str">
            <v>CR||17|||||#|10||-|04|||</v>
          </cell>
          <cell r="J1117">
            <v>120523</v>
          </cell>
          <cell r="L1117" t="str">
            <v>8.304538</v>
          </cell>
          <cell r="M1117" t="str">
            <v>-73.616933</v>
          </cell>
        </row>
        <row r="1118">
          <cell r="C1118">
            <v>45424</v>
          </cell>
          <cell r="D1118" t="str">
            <v>CM DROG LA ECONOMIA MORROCOY</v>
          </cell>
          <cell r="E1118" t="str">
            <v>S</v>
          </cell>
          <cell r="F1118" t="str">
            <v>20011</v>
          </cell>
          <cell r="H1118" t="str">
            <v>CR||18|||||#|4||-|77|||</v>
          </cell>
          <cell r="J1118">
            <v>120523</v>
          </cell>
          <cell r="L1118" t="str">
            <v>8.3099287</v>
          </cell>
          <cell r="M1118" t="str">
            <v>-73.616239</v>
          </cell>
        </row>
        <row r="1119">
          <cell r="C1119">
            <v>8147</v>
          </cell>
          <cell r="D1119" t="str">
            <v xml:space="preserve">PDV MAREIGUA </v>
          </cell>
          <cell r="E1119" t="str">
            <v>S</v>
          </cell>
          <cell r="F1119" t="str">
            <v>20001</v>
          </cell>
          <cell r="G1119" t="str">
            <v xml:space="preserve">PDV </v>
          </cell>
          <cell r="H1119" t="str">
            <v>CL||25|||||#|13||-|6|||</v>
          </cell>
          <cell r="J1119">
            <v>120523</v>
          </cell>
          <cell r="L1119" t="str">
            <v>10.43579521</v>
          </cell>
          <cell r="M1119" t="str">
            <v>-73.252902</v>
          </cell>
        </row>
        <row r="1120">
          <cell r="C1120">
            <v>8357</v>
          </cell>
          <cell r="D1120" t="str">
            <v>PDV MARIANGOLA</v>
          </cell>
          <cell r="E1120" t="str">
            <v>S</v>
          </cell>
          <cell r="F1120" t="str">
            <v>20001</v>
          </cell>
          <cell r="G1120" t="str">
            <v xml:space="preserve">PDV </v>
          </cell>
          <cell r="H1120" t="str">
            <v>CL||9|||||#|4||-|169|||</v>
          </cell>
          <cell r="J1120">
            <v>120523</v>
          </cell>
          <cell r="L1120" t="str">
            <v>10.18546</v>
          </cell>
          <cell r="M1120" t="str">
            <v>-73.587089</v>
          </cell>
        </row>
        <row r="1121">
          <cell r="C1121">
            <v>47061</v>
          </cell>
          <cell r="D1121" t="str">
            <v>AMBULANTE EL COPEY</v>
          </cell>
          <cell r="E1121" t="str">
            <v>S</v>
          </cell>
          <cell r="F1121" t="str">
            <v>20238</v>
          </cell>
          <cell r="H1121" t="str">
            <v>CR||14|||||#|8|A|-|100|||</v>
          </cell>
          <cell r="J1121">
            <v>0</v>
          </cell>
          <cell r="L1121" t="str">
            <v>10.148414</v>
          </cell>
          <cell r="M1121" t="str">
            <v>-73.959515</v>
          </cell>
        </row>
        <row r="1122">
          <cell r="C1122">
            <v>250318</v>
          </cell>
          <cell r="D1122" t="str">
            <v>CM PAPELERIA KAROL</v>
          </cell>
          <cell r="E1122" t="str">
            <v>S</v>
          </cell>
          <cell r="F1122" t="str">
            <v>20400</v>
          </cell>
          <cell r="H1122" t="str">
            <v>DG 9 # 7N-5 BARRIO EL BOSQUE</v>
          </cell>
          <cell r="J1122">
            <v>0</v>
          </cell>
          <cell r="L1122" t="str">
            <v>9.574343</v>
          </cell>
          <cell r="M1122" t="str">
            <v>-73.32823</v>
          </cell>
        </row>
        <row r="1123">
          <cell r="C1123">
            <v>250350</v>
          </cell>
          <cell r="D1123" t="str">
            <v>CENTRO DE DX RUTA DE SOL</v>
          </cell>
          <cell r="E1123" t="str">
            <v>S</v>
          </cell>
          <cell r="F1123" t="str">
            <v>20060</v>
          </cell>
          <cell r="H1123" t="str">
            <v>CR 18 16-68</v>
          </cell>
          <cell r="J1123">
            <v>0</v>
          </cell>
          <cell r="L1123" t="str">
            <v>9.9723</v>
          </cell>
          <cell r="M1123" t="str">
            <v>-73.8858</v>
          </cell>
        </row>
        <row r="1124">
          <cell r="C1124">
            <v>250356</v>
          </cell>
          <cell r="D1124" t="str">
            <v>CDA BOSCONIA MOTOR</v>
          </cell>
          <cell r="E1124" t="str">
            <v>S</v>
          </cell>
          <cell r="F1124" t="str">
            <v>20060</v>
          </cell>
          <cell r="H1124" t="str">
            <v>CR 18 16-68</v>
          </cell>
          <cell r="J1124">
            <v>0</v>
          </cell>
          <cell r="L1124" t="str">
            <v>9.9723</v>
          </cell>
          <cell r="M1124" t="str">
            <v>-73.8858</v>
          </cell>
        </row>
        <row r="1125">
          <cell r="C1125">
            <v>300015</v>
          </cell>
          <cell r="D1125" t="str">
            <v>CM PROVISIONES JULIANA</v>
          </cell>
          <cell r="E1125" t="str">
            <v>S</v>
          </cell>
          <cell r="F1125" t="str">
            <v>20750</v>
          </cell>
          <cell r="H1125" t="str">
            <v>CR 7 CL 2B-7 BARRIO LAS FLORES</v>
          </cell>
          <cell r="J1125">
            <v>0</v>
          </cell>
          <cell r="L1125" t="str">
            <v>10.336823</v>
          </cell>
          <cell r="M1125" t="str">
            <v>-73.182213</v>
          </cell>
        </row>
        <row r="1126">
          <cell r="C1126">
            <v>45111</v>
          </cell>
          <cell r="D1126" t="str">
            <v>TAT MARIA LIZ</v>
          </cell>
          <cell r="E1126" t="str">
            <v>S</v>
          </cell>
          <cell r="F1126" t="str">
            <v>20013</v>
          </cell>
          <cell r="H1126" t="str">
            <v>CR||17|||||#|16||-|1|||</v>
          </cell>
          <cell r="J1126">
            <v>120523</v>
          </cell>
          <cell r="L1126" t="str">
            <v>10.03561</v>
          </cell>
          <cell r="M1126" t="str">
            <v>-73.23644</v>
          </cell>
        </row>
        <row r="1127">
          <cell r="C1127">
            <v>45778</v>
          </cell>
          <cell r="D1127" t="str">
            <v>CM LAURI</v>
          </cell>
          <cell r="E1127" t="str">
            <v>S</v>
          </cell>
          <cell r="F1127" t="str">
            <v>20011</v>
          </cell>
          <cell r="H1127" t="str">
            <v>OT||||||||||||||MZ E CASA 8 BARRIO LOS COCOS</v>
          </cell>
          <cell r="J1127">
            <v>260523</v>
          </cell>
          <cell r="L1127" t="str">
            <v>8.294581</v>
          </cell>
          <cell r="M1127" t="str">
            <v>-73.628577</v>
          </cell>
        </row>
        <row r="1128">
          <cell r="C1128">
            <v>46282</v>
          </cell>
          <cell r="D1128" t="str">
            <v>CM LEIDY</v>
          </cell>
          <cell r="E1128" t="str">
            <v>S</v>
          </cell>
          <cell r="F1128" t="str">
            <v>20001</v>
          </cell>
          <cell r="H1128" t="str">
            <v>CR||22|||||#|34||-|19|||</v>
          </cell>
          <cell r="J1128">
            <v>260523</v>
          </cell>
          <cell r="L1128" t="str">
            <v>10.4506</v>
          </cell>
          <cell r="M1128" t="str">
            <v>-73.2512</v>
          </cell>
        </row>
        <row r="1129">
          <cell r="C1129">
            <v>46316</v>
          </cell>
          <cell r="D1129" t="str">
            <v>AMBULANTE NV BOSCONIA TIGO</v>
          </cell>
          <cell r="E1129" t="str">
            <v>S</v>
          </cell>
          <cell r="F1129" t="str">
            <v>20060</v>
          </cell>
          <cell r="J1129">
            <v>0</v>
          </cell>
          <cell r="L1129" t="str">
            <v>9.9719</v>
          </cell>
          <cell r="M1129" t="str">
            <v>-73.8882</v>
          </cell>
        </row>
        <row r="1130">
          <cell r="C1130">
            <v>46322</v>
          </cell>
          <cell r="D1130" t="str">
            <v>CM DANA</v>
          </cell>
          <cell r="E1130" t="str">
            <v>S</v>
          </cell>
          <cell r="F1130" t="str">
            <v>20001</v>
          </cell>
          <cell r="H1130" t="str">
            <v>CL||16|||||#|21||-|64|||</v>
          </cell>
          <cell r="J1130">
            <v>260523</v>
          </cell>
          <cell r="L1130" t="str">
            <v>10.465647</v>
          </cell>
          <cell r="M1130" t="str">
            <v>-73.264164</v>
          </cell>
        </row>
        <row r="1131">
          <cell r="C1131">
            <v>47071</v>
          </cell>
          <cell r="D1131" t="str">
            <v>AMBULANTE TAMALAMEQUE</v>
          </cell>
          <cell r="E1131" t="str">
            <v>S</v>
          </cell>
          <cell r="F1131" t="str">
            <v>20787</v>
          </cell>
          <cell r="H1131" t="str">
            <v>CL||5|||||#|5||-|93|||</v>
          </cell>
          <cell r="J1131">
            <v>0</v>
          </cell>
          <cell r="L1131" t="str">
            <v>8.859786</v>
          </cell>
          <cell r="M1131" t="str">
            <v>-73.81008</v>
          </cell>
        </row>
        <row r="1132">
          <cell r="C1132">
            <v>47077</v>
          </cell>
          <cell r="D1132" t="str">
            <v xml:space="preserve">AMBULANTE ASTREA </v>
          </cell>
          <cell r="E1132" t="str">
            <v>S</v>
          </cell>
          <cell r="F1132" t="str">
            <v>20032</v>
          </cell>
          <cell r="H1132" t="str">
            <v>CL||7|||||#|3||-|76|||</v>
          </cell>
          <cell r="J1132">
            <v>0</v>
          </cell>
          <cell r="L1132" t="str">
            <v>9.4979</v>
          </cell>
          <cell r="M1132" t="str">
            <v>-73.9779</v>
          </cell>
        </row>
        <row r="1133">
          <cell r="C1133">
            <v>47079</v>
          </cell>
          <cell r="D1133" t="str">
            <v>AMBULANTE RIO DE ORO</v>
          </cell>
          <cell r="E1133" t="str">
            <v>S</v>
          </cell>
          <cell r="F1133" t="str">
            <v>20614</v>
          </cell>
          <cell r="H1133" t="str">
            <v xml:space="preserve">CL||1|||||#|2||-|117||| 	</v>
          </cell>
          <cell r="J1133">
            <v>0</v>
          </cell>
          <cell r="L1133" t="str">
            <v>8.29129694</v>
          </cell>
          <cell r="M1133" t="str">
            <v>-73.38600666</v>
          </cell>
        </row>
        <row r="1134">
          <cell r="C1134">
            <v>47118</v>
          </cell>
          <cell r="D1134" t="str">
            <v>AMBULANTE BECERRIL TIGO</v>
          </cell>
          <cell r="E1134" t="str">
            <v>S</v>
          </cell>
          <cell r="F1134" t="str">
            <v>20045</v>
          </cell>
          <cell r="H1134" t="str">
            <v>CL 9 # 3-77</v>
          </cell>
          <cell r="J1134">
            <v>0</v>
          </cell>
          <cell r="L1134" t="str">
            <v>9.70359</v>
          </cell>
          <cell r="M1134" t="str">
            <v>-73.28087</v>
          </cell>
        </row>
        <row r="1135">
          <cell r="C1135">
            <v>47552</v>
          </cell>
          <cell r="D1135" t="str">
            <v>CM HERMANOS JIMENEZ</v>
          </cell>
          <cell r="E1135" t="str">
            <v>S</v>
          </cell>
          <cell r="F1135" t="str">
            <v>20013</v>
          </cell>
          <cell r="H1135" t="str">
            <v>CL 12A # 11-113 BARRIO EL BOSQUE</v>
          </cell>
          <cell r="J1135">
            <v>0</v>
          </cell>
          <cell r="L1135" t="str">
            <v>10.033811</v>
          </cell>
          <cell r="M1135" t="str">
            <v>-73.231237</v>
          </cell>
        </row>
        <row r="1136">
          <cell r="C1136">
            <v>47962</v>
          </cell>
          <cell r="D1136" t="str">
            <v>CM SOFI 1</v>
          </cell>
          <cell r="E1136" t="str">
            <v>S</v>
          </cell>
          <cell r="F1136" t="str">
            <v>20011</v>
          </cell>
          <cell r="H1136" t="str">
            <v>CL 14 # 9-31 APT 1 BARRIO LA LIBERTAD</v>
          </cell>
          <cell r="J1136">
            <v>0</v>
          </cell>
          <cell r="L1136" t="str">
            <v>8.297917</v>
          </cell>
          <cell r="M1136" t="str">
            <v>-73.623716</v>
          </cell>
        </row>
        <row r="1137">
          <cell r="C1137">
            <v>43830</v>
          </cell>
          <cell r="D1137" t="str">
            <v xml:space="preserve">PDV LA SEXTA </v>
          </cell>
          <cell r="E1137" t="str">
            <v>S</v>
          </cell>
          <cell r="F1137" t="str">
            <v>20011</v>
          </cell>
          <cell r="H1137" t="str">
            <v>CL||6|||||#|13||-|98|||</v>
          </cell>
          <cell r="J1137">
            <v>0</v>
          </cell>
          <cell r="L1137" t="str">
            <v>8.308512</v>
          </cell>
          <cell r="M1137" t="str">
            <v>-73.62047</v>
          </cell>
        </row>
        <row r="1138">
          <cell r="C1138">
            <v>44447</v>
          </cell>
          <cell r="D1138" t="str">
            <v xml:space="preserve">PDV ANTIGUO CDA SAN EDUARDO </v>
          </cell>
          <cell r="E1138" t="str">
            <v>S</v>
          </cell>
          <cell r="F1138" t="str">
            <v>20011</v>
          </cell>
          <cell r="H1138" t="str">
            <v>CR||35|A||||#|10|N|-|8|||</v>
          </cell>
          <cell r="J1138">
            <v>120523</v>
          </cell>
          <cell r="L1138" t="str">
            <v>8.31792</v>
          </cell>
          <cell r="M1138" t="str">
            <v>-73.603476</v>
          </cell>
        </row>
        <row r="1139">
          <cell r="C1139">
            <v>44775</v>
          </cell>
          <cell r="D1139" t="str">
            <v xml:space="preserve">CM VILLA IRINA </v>
          </cell>
          <cell r="E1139" t="str">
            <v>S</v>
          </cell>
          <cell r="F1139" t="str">
            <v>20011</v>
          </cell>
          <cell r="H1139" t="str">
            <v>OT||||||||||||||MZ E CASA  - 42</v>
          </cell>
          <cell r="J1139">
            <v>120523</v>
          </cell>
          <cell r="L1139" t="str">
            <v>8.309003</v>
          </cell>
          <cell r="M1139" t="str">
            <v>-73.629917</v>
          </cell>
        </row>
        <row r="1140">
          <cell r="C1140">
            <v>42622</v>
          </cell>
          <cell r="D1140" t="str">
            <v>PDV CONCHA ACUSTICA</v>
          </cell>
          <cell r="E1140" t="str">
            <v>S</v>
          </cell>
          <cell r="F1140" t="str">
            <v>20001</v>
          </cell>
          <cell r="H1140" t="str">
            <v>CL||28|||||#|12|A|-|50|||</v>
          </cell>
          <cell r="J1140">
            <v>120523</v>
          </cell>
          <cell r="L1140" t="str">
            <v>10.4582</v>
          </cell>
          <cell r="M1140" t="str">
            <v>-73.2442</v>
          </cell>
        </row>
        <row r="1141">
          <cell r="C1141">
            <v>46210</v>
          </cell>
          <cell r="D1141" t="str">
            <v>PDV FERRETERIA COLOMBIA</v>
          </cell>
          <cell r="E1141" t="str">
            <v>S</v>
          </cell>
          <cell r="F1141" t="str">
            <v>20001</v>
          </cell>
          <cell r="H1141" t="str">
            <v>CR||36|||||#|16|C|-|7|||</v>
          </cell>
          <cell r="J1141">
            <v>260523</v>
          </cell>
          <cell r="L1141" t="str">
            <v>10.455994</v>
          </cell>
          <cell r="M1141" t="str">
            <v>-73.275593</v>
          </cell>
        </row>
        <row r="1142">
          <cell r="C1142">
            <v>47035</v>
          </cell>
          <cell r="D1142" t="str">
            <v>AMBULANTE CURUMANI</v>
          </cell>
          <cell r="E1142" t="str">
            <v>S</v>
          </cell>
          <cell r="F1142" t="str">
            <v>20228</v>
          </cell>
          <cell r="H1142" t="str">
            <v>CL||8|||||#|14||-|33|||</v>
          </cell>
          <cell r="J1142">
            <v>0</v>
          </cell>
          <cell r="L1142" t="str">
            <v>9.199663</v>
          </cell>
          <cell r="M1142" t="str">
            <v>-73.543478</v>
          </cell>
        </row>
        <row r="1143">
          <cell r="C1143">
            <v>47091</v>
          </cell>
          <cell r="D1143" t="str">
            <v>AMBULANTE CURUMANI TIGO</v>
          </cell>
          <cell r="E1143" t="str">
            <v>S</v>
          </cell>
          <cell r="F1143" t="str">
            <v>20228</v>
          </cell>
          <cell r="H1143" t="str">
            <v>CL 8 # 14-33</v>
          </cell>
          <cell r="J1143">
            <v>0</v>
          </cell>
          <cell r="L1143" t="str">
            <v>9.199663</v>
          </cell>
          <cell r="M1143" t="str">
            <v>-73.543478</v>
          </cell>
        </row>
        <row r="1144">
          <cell r="C1144">
            <v>47644</v>
          </cell>
          <cell r="D1144" t="str">
            <v>LA PAZ COLOMBIA MAYOR</v>
          </cell>
          <cell r="E1144" t="str">
            <v>S</v>
          </cell>
          <cell r="F1144" t="str">
            <v>20621</v>
          </cell>
          <cell r="H1144" t="str">
            <v>MOVIL</v>
          </cell>
          <cell r="J1144">
            <v>0</v>
          </cell>
        </row>
        <row r="1145">
          <cell r="C1145">
            <v>47648</v>
          </cell>
          <cell r="D1145" t="str">
            <v>MANAURE COLOMBIA MAYOR</v>
          </cell>
          <cell r="E1145" t="str">
            <v>S</v>
          </cell>
          <cell r="F1145" t="str">
            <v>20443</v>
          </cell>
          <cell r="H1145" t="str">
            <v>MOVIL</v>
          </cell>
          <cell r="J1145">
            <v>0</v>
          </cell>
        </row>
        <row r="1146">
          <cell r="C1146">
            <v>300435</v>
          </cell>
          <cell r="D1146" t="str">
            <v>CM SAN GABRIEL</v>
          </cell>
          <cell r="E1146" t="str">
            <v>S</v>
          </cell>
          <cell r="F1146" t="str">
            <v>20295</v>
          </cell>
          <cell r="H1146" t="str">
            <v>KDX 43-30 AHA BARRIO SAN GABRIEL</v>
          </cell>
          <cell r="J1146">
            <v>0</v>
          </cell>
          <cell r="L1146" t="str">
            <v>8.33164</v>
          </cell>
          <cell r="M1146" t="str">
            <v>-73.73220</v>
          </cell>
        </row>
        <row r="1147">
          <cell r="C1147">
            <v>300460</v>
          </cell>
          <cell r="D1147" t="str">
            <v>CM IAN</v>
          </cell>
          <cell r="E1147" t="str">
            <v>S</v>
          </cell>
          <cell r="F1147" t="str">
            <v>20787</v>
          </cell>
          <cell r="H1147" t="str">
            <v>CL 2 # 7-101 BARRIO PUERTO BOCAS</v>
          </cell>
          <cell r="J1147">
            <v>0</v>
          </cell>
          <cell r="L1147" t="str">
            <v>8.85560345</v>
          </cell>
          <cell r="M1147" t="str">
            <v>-73.83296898</v>
          </cell>
        </row>
        <row r="1148">
          <cell r="C1148">
            <v>300831</v>
          </cell>
          <cell r="D1148" t="str">
            <v>CM GALLARDO CELL</v>
          </cell>
          <cell r="E1148" t="str">
            <v>S</v>
          </cell>
          <cell r="F1148" t="str">
            <v>20550</v>
          </cell>
          <cell r="H1148" t="str">
            <v>CL 8 # 7-88 BARRIO ALFONSO LOPEZ</v>
          </cell>
          <cell r="J1148">
            <v>0</v>
          </cell>
          <cell r="L1148" t="str">
            <v>8.6889679</v>
          </cell>
          <cell r="M1148" t="str">
            <v>-73.66288379</v>
          </cell>
        </row>
        <row r="1149">
          <cell r="C1149">
            <v>300060</v>
          </cell>
          <cell r="D1149" t="str">
            <v>RECAUDO MOVIL BOSCONIA</v>
          </cell>
          <cell r="E1149" t="str">
            <v>S</v>
          </cell>
          <cell r="F1149" t="str">
            <v>20060</v>
          </cell>
          <cell r="H1149" t="str">
            <v>KRA 18 # 16-68</v>
          </cell>
          <cell r="J1149">
            <v>0</v>
          </cell>
        </row>
        <row r="1150">
          <cell r="C1150">
            <v>300727</v>
          </cell>
          <cell r="D1150" t="str">
            <v>CM PUERTO CARREÑO</v>
          </cell>
          <cell r="E1150" t="str">
            <v>S</v>
          </cell>
          <cell r="F1150" t="str">
            <v>20710</v>
          </cell>
          <cell r="H1150" t="str">
            <v>PUERTO CARREÑO</v>
          </cell>
          <cell r="J1150">
            <v>0</v>
          </cell>
          <cell r="L1150" t="str">
            <v>7.71026</v>
          </cell>
          <cell r="M1150" t="str">
            <v>-73.43161</v>
          </cell>
        </row>
        <row r="1151">
          <cell r="C1151">
            <v>301014</v>
          </cell>
          <cell r="D1151" t="str">
            <v>CM LINA</v>
          </cell>
          <cell r="E1151" t="str">
            <v>S</v>
          </cell>
          <cell r="F1151" t="str">
            <v>20060</v>
          </cell>
          <cell r="H1151" t="str">
            <v xml:space="preserve">CR 16 CL 26 #25-62 </v>
          </cell>
          <cell r="J1151">
            <v>0</v>
          </cell>
          <cell r="L1151" t="str">
            <v>9.98013</v>
          </cell>
          <cell r="M1151" t="str">
            <v>73.88776</v>
          </cell>
        </row>
        <row r="1152">
          <cell r="C1152">
            <v>300765</v>
          </cell>
          <cell r="D1152" t="str">
            <v>CM TIENDA EL ALMENDRO PRADERA</v>
          </cell>
          <cell r="E1152" t="str">
            <v>S</v>
          </cell>
          <cell r="F1152" t="str">
            <v>20011</v>
          </cell>
          <cell r="H1152" t="str">
            <v>CL 19 # 13A-19 BARRIO LA PRADERA</v>
          </cell>
          <cell r="J1152">
            <v>0</v>
          </cell>
          <cell r="L1152" t="str">
            <v>8.29548559</v>
          </cell>
          <cell r="M1152" t="str">
            <v>-73.61663709</v>
          </cell>
        </row>
        <row r="1153">
          <cell r="C1153">
            <v>300763</v>
          </cell>
          <cell r="D1153" t="str">
            <v>CM LAS RAICES 1</v>
          </cell>
          <cell r="E1153" t="str">
            <v>S</v>
          </cell>
          <cell r="F1153" t="str">
            <v>20001</v>
          </cell>
          <cell r="H1153" t="str">
            <v>CR 3 # 1-118 CGTO LAS RAICES</v>
          </cell>
          <cell r="J1153">
            <v>0</v>
          </cell>
          <cell r="L1153" t="str">
            <v>10.55708188</v>
          </cell>
          <cell r="M1153" t="str">
            <v>-73.18386756</v>
          </cell>
        </row>
        <row r="1154">
          <cell r="C1154">
            <v>300762</v>
          </cell>
          <cell r="D1154" t="str">
            <v>CM PANADERIA MAXIPAN</v>
          </cell>
          <cell r="E1154" t="str">
            <v>S</v>
          </cell>
          <cell r="F1154" t="str">
            <v>20001</v>
          </cell>
          <cell r="H1154" t="str">
            <v>CR 12 CL 12-36 BARRIO EL OBRERO</v>
          </cell>
          <cell r="J1154">
            <v>0</v>
          </cell>
          <cell r="L1154" t="str">
            <v>10.478256233</v>
          </cell>
          <cell r="M1154" t="str">
            <v>-73.2530046</v>
          </cell>
        </row>
        <row r="1155">
          <cell r="C1155">
            <v>300776</v>
          </cell>
          <cell r="D1155" t="str">
            <v>CM TERRAPLEN</v>
          </cell>
          <cell r="E1155" t="str">
            <v>S</v>
          </cell>
          <cell r="F1155" t="str">
            <v>20770</v>
          </cell>
          <cell r="H1155" t="str">
            <v>CGTO TERRAPLEN CASA # 126 CENTRO</v>
          </cell>
          <cell r="J1155">
            <v>0</v>
          </cell>
          <cell r="L1155" t="str">
            <v>7.87855166</v>
          </cell>
          <cell r="M1155" t="str">
            <v>-73.65726333</v>
          </cell>
        </row>
        <row r="1156">
          <cell r="C1156">
            <v>302510</v>
          </cell>
          <cell r="D1156" t="str">
            <v>CM TIENDA EL PARAISO</v>
          </cell>
          <cell r="E1156" t="str">
            <v>S</v>
          </cell>
          <cell r="F1156" t="str">
            <v>20178</v>
          </cell>
          <cell r="H1156" t="str">
            <v>CL 3SUR - 8-60 BARRIO EL PARAISO</v>
          </cell>
          <cell r="J1156">
            <v>0</v>
          </cell>
          <cell r="L1156" t="str">
            <v>9.35602115</v>
          </cell>
          <cell r="M1156" t="str">
            <v>-73.59744765</v>
          </cell>
        </row>
        <row r="1157">
          <cell r="C1157">
            <v>300703</v>
          </cell>
          <cell r="D1157" t="str">
            <v>CM ELYS</v>
          </cell>
          <cell r="E1157" t="str">
            <v>S</v>
          </cell>
          <cell r="F1157" t="str">
            <v>20013</v>
          </cell>
          <cell r="H1157" t="str">
            <v>CR 5A N26-92 BARRIO EL JUGUETE</v>
          </cell>
          <cell r="J1157">
            <v>0</v>
          </cell>
          <cell r="L1157" t="str">
            <v>10.0427</v>
          </cell>
          <cell r="M1157" t="str">
            <v>-73.2257</v>
          </cell>
        </row>
        <row r="1158">
          <cell r="C1158">
            <v>300811</v>
          </cell>
          <cell r="D1158" t="str">
            <v>CM CELESTELL</v>
          </cell>
          <cell r="E1158" t="str">
            <v>S</v>
          </cell>
          <cell r="F1158" t="str">
            <v>20011</v>
          </cell>
          <cell r="H1158" t="str">
            <v>CL 11 # 24A-55 BARRIO SAN JOSÉ</v>
          </cell>
          <cell r="J1158">
            <v>0</v>
          </cell>
          <cell r="L1158" t="str">
            <v>8.304990</v>
          </cell>
          <cell r="M1158" t="str">
            <v>-73.609813</v>
          </cell>
        </row>
        <row r="1159">
          <cell r="C1159">
            <v>301006</v>
          </cell>
          <cell r="D1159" t="str">
            <v>CM PAVAJEAU PB</v>
          </cell>
          <cell r="E1159" t="str">
            <v>S</v>
          </cell>
          <cell r="F1159" t="str">
            <v>20570</v>
          </cell>
          <cell r="H1159" t="str">
            <v>CR 10 #9A-60 BARRIO LAS FLORES</v>
          </cell>
          <cell r="J1159">
            <v>0</v>
          </cell>
          <cell r="L1159" t="str">
            <v>10.41490</v>
          </cell>
          <cell r="M1159" t="str">
            <v>-73.58576</v>
          </cell>
        </row>
        <row r="1160">
          <cell r="C1160">
            <v>301425</v>
          </cell>
          <cell r="D1160" t="str">
            <v>CM DROGUERIA BETHEL</v>
          </cell>
          <cell r="E1160" t="str">
            <v>S</v>
          </cell>
          <cell r="F1160" t="str">
            <v>20443</v>
          </cell>
          <cell r="H1160" t="str">
            <v>CL 2 KR 7-33 BRR LA AVENIDA</v>
          </cell>
          <cell r="J1160">
            <v>0</v>
          </cell>
          <cell r="L1160" t="str">
            <v>10.389885</v>
          </cell>
          <cell r="M1160" t="str">
            <v>-73.0280383</v>
          </cell>
        </row>
        <row r="1161">
          <cell r="C1161">
            <v>302223</v>
          </cell>
          <cell r="D1161" t="str">
            <v>CM LEDIS</v>
          </cell>
          <cell r="E1161" t="str">
            <v>S</v>
          </cell>
          <cell r="F1161" t="str">
            <v>20045</v>
          </cell>
          <cell r="H1161" t="str">
            <v>CR 5A #6N-52 BARRIO IDEMA</v>
          </cell>
          <cell r="J1161">
            <v>0</v>
          </cell>
          <cell r="L1161" t="str">
            <v>9.71321</v>
          </cell>
          <cell r="M1161" t="str">
            <v>-73.27842</v>
          </cell>
        </row>
        <row r="1162">
          <cell r="C1162">
            <v>301231</v>
          </cell>
          <cell r="D1162" t="str">
            <v>CM NINI</v>
          </cell>
          <cell r="E1162" t="str">
            <v>S</v>
          </cell>
          <cell r="F1162" t="str">
            <v>20011</v>
          </cell>
          <cell r="H1162" t="str">
            <v>CR 11 12BIS-18 BRR IDEMA</v>
          </cell>
          <cell r="J1162">
            <v>0</v>
          </cell>
          <cell r="L1162" t="str">
            <v>8.300144</v>
          </cell>
          <cell r="M1162" t="str">
            <v>-73.620439</v>
          </cell>
        </row>
        <row r="1163">
          <cell r="C1163">
            <v>300172</v>
          </cell>
          <cell r="D1163" t="str">
            <v>CM EL LATIGO</v>
          </cell>
          <cell r="E1163" t="str">
            <v>S</v>
          </cell>
          <cell r="F1163" t="str">
            <v>20011</v>
          </cell>
          <cell r="H1163" t="str">
            <v>CL 12N # 33-115 BARRIO OBREGON</v>
          </cell>
          <cell r="J1163">
            <v>0</v>
          </cell>
          <cell r="L1163" t="str">
            <v>8.3204875</v>
          </cell>
          <cell r="M1163" t="str">
            <v>-73.6016081</v>
          </cell>
        </row>
        <row r="1164">
          <cell r="C1164">
            <v>300906</v>
          </cell>
          <cell r="D1164" t="str">
            <v>CM KELIS 2</v>
          </cell>
          <cell r="E1164" t="str">
            <v>S</v>
          </cell>
          <cell r="F1164" t="str">
            <v>20175</v>
          </cell>
          <cell r="H1164" t="str">
            <v>CR 1A CL 2-66 SALOA</v>
          </cell>
          <cell r="J1164">
            <v>0</v>
          </cell>
          <cell r="L1164" t="str">
            <v>9.1943</v>
          </cell>
          <cell r="M1164" t="str">
            <v>-73.7309</v>
          </cell>
        </row>
        <row r="1165">
          <cell r="C1165">
            <v>301094</v>
          </cell>
          <cell r="D1165" t="str">
            <v>CM JORGE ELIECER GAITAN</v>
          </cell>
          <cell r="E1165" t="str">
            <v>S</v>
          </cell>
          <cell r="F1165" t="str">
            <v>20295</v>
          </cell>
          <cell r="H1165" t="str">
            <v>CL 8 5A-99 BARRIO JORGE ELIECER GAITAN</v>
          </cell>
          <cell r="J1165">
            <v>0</v>
          </cell>
          <cell r="L1165" t="str">
            <v>8.32419</v>
          </cell>
          <cell r="M1165" t="str">
            <v>-73.74486</v>
          </cell>
        </row>
        <row r="1166">
          <cell r="C1166">
            <v>302535</v>
          </cell>
          <cell r="D1166" t="str">
            <v>CDA TAMALAMEQUE</v>
          </cell>
          <cell r="E1166" t="str">
            <v>S</v>
          </cell>
          <cell r="F1166" t="str">
            <v>20011</v>
          </cell>
          <cell r="H1166" t="str">
            <v>CL 5 # 7-5 APT 2 BARRIO FUNDACIÓN</v>
          </cell>
          <cell r="J1166">
            <v>0</v>
          </cell>
          <cell r="L1166" t="str">
            <v>8.858827</v>
          </cell>
          <cell r="M1166" t="str">
            <v>-73.815432</v>
          </cell>
        </row>
        <row r="1167">
          <cell r="C1167">
            <v>302587</v>
          </cell>
          <cell r="D1167" t="str">
            <v>CM ALEXA</v>
          </cell>
          <cell r="E1167" t="str">
            <v>S</v>
          </cell>
          <cell r="F1167" t="str">
            <v>20178</v>
          </cell>
          <cell r="H1167" t="str">
            <v>CL 2 SUR 3-18 BARRIO LA UNION</v>
          </cell>
          <cell r="J1167">
            <v>0</v>
          </cell>
          <cell r="L1167" t="str">
            <v>9.35796125</v>
          </cell>
          <cell r="M1167" t="str">
            <v>-73.60581323</v>
          </cell>
        </row>
        <row r="1168">
          <cell r="C1168">
            <v>300555</v>
          </cell>
          <cell r="D1168" t="str">
            <v>CM SAN JOSE</v>
          </cell>
          <cell r="E1168" t="str">
            <v>S</v>
          </cell>
          <cell r="F1168" t="str">
            <v>20013</v>
          </cell>
          <cell r="H1168" t="str">
            <v>CR 27 # 12C-40 BARRIO SAN JOSE</v>
          </cell>
          <cell r="J1168">
            <v>0</v>
          </cell>
          <cell r="L1168" t="str">
            <v>10.033499</v>
          </cell>
          <cell r="M1168" t="str">
            <v>-73.242392</v>
          </cell>
        </row>
        <row r="1169">
          <cell r="C1169">
            <v>300743</v>
          </cell>
          <cell r="D1169" t="str">
            <v>CM LA POLICIA</v>
          </cell>
          <cell r="E1169" t="str">
            <v>S</v>
          </cell>
          <cell r="F1169" t="str">
            <v>20400</v>
          </cell>
          <cell r="H1169" t="str">
            <v>DG 2 # 2-71 BARRIO LA FLORIDA</v>
          </cell>
          <cell r="J1169">
            <v>0</v>
          </cell>
          <cell r="L1169" t="str">
            <v>9.5651135</v>
          </cell>
          <cell r="M1169" t="str">
            <v>-73.3325749</v>
          </cell>
        </row>
        <row r="1170">
          <cell r="C1170">
            <v>300791</v>
          </cell>
          <cell r="D1170" t="str">
            <v>CM VARIEDADES EMELI</v>
          </cell>
          <cell r="E1170" t="str">
            <v>S</v>
          </cell>
          <cell r="F1170" t="str">
            <v>20750</v>
          </cell>
          <cell r="H1170" t="str">
            <v>CL 1C # 10-87 BARRIO VILLA TIBIA</v>
          </cell>
          <cell r="J1170">
            <v>0</v>
          </cell>
          <cell r="L1170" t="str">
            <v>10.3331</v>
          </cell>
          <cell r="M1170" t="str">
            <v>-73.1856</v>
          </cell>
        </row>
        <row r="1171">
          <cell r="C1171">
            <v>301236</v>
          </cell>
          <cell r="D1171" t="str">
            <v xml:space="preserve">CM LEIDY </v>
          </cell>
          <cell r="E1171" t="str">
            <v>S</v>
          </cell>
          <cell r="F1171" t="str">
            <v>20013</v>
          </cell>
          <cell r="H1171" t="str">
            <v>CR 13 #11-11 BRR LAS DELICIAS</v>
          </cell>
          <cell r="J1171">
            <v>0</v>
          </cell>
          <cell r="L1171" t="str">
            <v>10.02982</v>
          </cell>
          <cell r="M1171" t="str">
            <v>-73.23235</v>
          </cell>
        </row>
        <row r="1172">
          <cell r="C1172">
            <v>302300</v>
          </cell>
          <cell r="D1172" t="str">
            <v>CM YANIRIS</v>
          </cell>
          <cell r="E1172" t="str">
            <v>S</v>
          </cell>
          <cell r="F1172" t="str">
            <v>20045</v>
          </cell>
          <cell r="H1172" t="str">
            <v>CL 15A # 12-98 URB MARILIS HINOJOSA</v>
          </cell>
          <cell r="J1172">
            <v>0</v>
          </cell>
          <cell r="L1172" t="str">
            <v>9.69742</v>
          </cell>
          <cell r="M1172" t="str">
            <v>-73.27498</v>
          </cell>
        </row>
        <row r="1173">
          <cell r="C1173">
            <v>302194</v>
          </cell>
          <cell r="D1173" t="str">
            <v>CM RUTH</v>
          </cell>
          <cell r="E1173" t="str">
            <v>S</v>
          </cell>
          <cell r="F1173" t="str">
            <v>20060</v>
          </cell>
          <cell r="H1173" t="str">
            <v>CR 23 CL 22-15 BARRIO EL CARMEN</v>
          </cell>
          <cell r="J1173">
            <v>0</v>
          </cell>
          <cell r="L1173" t="str">
            <v>9.97331833</v>
          </cell>
          <cell r="M1173" t="str">
            <v>-73.89335</v>
          </cell>
        </row>
        <row r="1174">
          <cell r="C1174">
            <v>7091</v>
          </cell>
          <cell r="D1174" t="str">
            <v>AMBULANTE TIGO CHIRIGUANA</v>
          </cell>
          <cell r="E1174" t="str">
            <v>S</v>
          </cell>
          <cell r="F1174" t="str">
            <v>20178</v>
          </cell>
          <cell r="G1174" t="str">
            <v xml:space="preserve">AMB </v>
          </cell>
          <cell r="H1174" t="str">
            <v>CL||8|||||#|5|A|-|4|||</v>
          </cell>
          <cell r="J1174">
            <v>120523</v>
          </cell>
          <cell r="L1174" t="str">
            <v>9.3641</v>
          </cell>
          <cell r="M1174" t="str">
            <v>-73.6024</v>
          </cell>
        </row>
        <row r="1175">
          <cell r="C1175">
            <v>7099</v>
          </cell>
          <cell r="D1175" t="str">
            <v>AMBULANTE TIGO ASTREA</v>
          </cell>
          <cell r="E1175" t="str">
            <v>S</v>
          </cell>
          <cell r="F1175" t="str">
            <v>20032</v>
          </cell>
          <cell r="G1175" t="str">
            <v>AMB</v>
          </cell>
          <cell r="H1175" t="str">
            <v>CL||7|||||#|3||-|76|||</v>
          </cell>
          <cell r="J1175">
            <v>0</v>
          </cell>
        </row>
        <row r="1176">
          <cell r="C1176">
            <v>7106</v>
          </cell>
          <cell r="D1176" t="str">
            <v>OFICINA PRINCIPAL EL PASO</v>
          </cell>
          <cell r="E1176" t="str">
            <v>S</v>
          </cell>
          <cell r="F1176" t="str">
            <v>20250</v>
          </cell>
          <cell r="G1176" t="str">
            <v xml:space="preserve">CDA </v>
          </cell>
          <cell r="H1176" t="str">
            <v>CL 3  4 - 102|</v>
          </cell>
          <cell r="J1176">
            <v>0</v>
          </cell>
          <cell r="L1176" t="str">
            <v>9.6589</v>
          </cell>
          <cell r="M1176" t="str">
            <v>-73.7507</v>
          </cell>
        </row>
        <row r="1177">
          <cell r="C1177">
            <v>7176</v>
          </cell>
          <cell r="D1177" t="str">
            <v>PDV LOCAL LA 8</v>
          </cell>
          <cell r="E1177" t="str">
            <v>S</v>
          </cell>
          <cell r="F1177" t="str">
            <v>20011</v>
          </cell>
          <cell r="G1177" t="str">
            <v xml:space="preserve">PDV </v>
          </cell>
          <cell r="H1177" t="str">
            <v>CL||8|||||#|26||-|21|||</v>
          </cell>
          <cell r="J1177">
            <v>120523</v>
          </cell>
          <cell r="L1177" t="str">
            <v>8.307275</v>
          </cell>
          <cell r="M1177" t="str">
            <v>-73.608861</v>
          </cell>
        </row>
        <row r="1178">
          <cell r="C1178">
            <v>7194</v>
          </cell>
          <cell r="D1178" t="str">
            <v>PDV LOCAL LA 39</v>
          </cell>
          <cell r="E1178" t="str">
            <v>S</v>
          </cell>
          <cell r="F1178" t="str">
            <v>20011</v>
          </cell>
          <cell r="G1178" t="str">
            <v xml:space="preserve">PDV </v>
          </cell>
          <cell r="H1178" t="str">
            <v>CR||39|||||#|3|N|-|14|||</v>
          </cell>
          <cell r="J1178">
            <v>120523</v>
          </cell>
          <cell r="L1178" t="str">
            <v>8.3163944</v>
          </cell>
          <cell r="M1178" t="str">
            <v>-73.598611</v>
          </cell>
        </row>
        <row r="1179">
          <cell r="C1179">
            <v>7228</v>
          </cell>
          <cell r="D1179" t="str">
            <v>CM MISCELANEA CASA VIEJA</v>
          </cell>
          <cell r="E1179" t="str">
            <v>S</v>
          </cell>
          <cell r="F1179" t="str">
            <v>20060</v>
          </cell>
          <cell r="G1179" t="str">
            <v>CM</v>
          </cell>
          <cell r="H1179" t="str">
            <v>CR||3|||||#|2||-|27|||</v>
          </cell>
          <cell r="J1179">
            <v>0</v>
          </cell>
        </row>
        <row r="1180">
          <cell r="C1180">
            <v>7208</v>
          </cell>
          <cell r="D1180" t="str">
            <v>CM 15 DE NOVIEMBRE</v>
          </cell>
          <cell r="E1180" t="str">
            <v>S</v>
          </cell>
          <cell r="F1180" t="str">
            <v>20013</v>
          </cell>
          <cell r="G1180" t="str">
            <v>CM</v>
          </cell>
          <cell r="H1180" t="str">
            <v>DG 27  11B - 02</v>
          </cell>
          <cell r="J1180">
            <v>0</v>
          </cell>
        </row>
        <row r="1181">
          <cell r="C1181">
            <v>7180</v>
          </cell>
          <cell r="D1181" t="str">
            <v>CM EUSSE</v>
          </cell>
          <cell r="E1181" t="str">
            <v>S</v>
          </cell>
          <cell r="F1181" t="str">
            <v>20001</v>
          </cell>
          <cell r="G1181" t="str">
            <v>CM</v>
          </cell>
          <cell r="H1181" t="str">
            <v>CL||17|A||||#|4||-|1|||</v>
          </cell>
          <cell r="J1181">
            <v>0</v>
          </cell>
        </row>
        <row r="1182">
          <cell r="C1182">
            <v>7014</v>
          </cell>
          <cell r="D1182" t="str">
            <v>OFICINA PRINCIPAL AGUACHICA</v>
          </cell>
          <cell r="E1182" t="str">
            <v>S</v>
          </cell>
          <cell r="F1182" t="str">
            <v>20011</v>
          </cell>
          <cell r="G1182" t="str">
            <v xml:space="preserve">CDA </v>
          </cell>
          <cell r="H1182" t="str">
            <v>CL||5|||||#|17||-|39|||</v>
          </cell>
          <cell r="J1182">
            <v>0</v>
          </cell>
          <cell r="L1182" t="str">
            <v>8.310068</v>
          </cell>
          <cell r="M1182" t="str">
            <v>-73.616822</v>
          </cell>
        </row>
        <row r="1183">
          <cell r="C1183">
            <v>7037</v>
          </cell>
          <cell r="D1183" t="str">
            <v>AMBULANTE CLARO SAN MARTIN</v>
          </cell>
          <cell r="E1183" t="str">
            <v>S</v>
          </cell>
          <cell r="F1183" t="str">
            <v>20770</v>
          </cell>
          <cell r="G1183" t="str">
            <v xml:space="preserve">AMB </v>
          </cell>
          <cell r="H1183" t="str">
            <v>CL||15|||||#|7||-|50|||</v>
          </cell>
          <cell r="J1183">
            <v>120523</v>
          </cell>
          <cell r="L1183" t="str">
            <v>8.00211</v>
          </cell>
          <cell r="M1183" t="str">
            <v>-73.51164</v>
          </cell>
        </row>
        <row r="1184">
          <cell r="C1184">
            <v>7077</v>
          </cell>
          <cell r="D1184" t="str">
            <v>AMBULANTE CLARO BECERRIL</v>
          </cell>
          <cell r="E1184" t="str">
            <v>S</v>
          </cell>
          <cell r="F1184" t="str">
            <v>20045</v>
          </cell>
          <cell r="G1184" t="str">
            <v xml:space="preserve">AMB </v>
          </cell>
          <cell r="H1184" t="str">
            <v>CL||9|||||#|3||-|77|||</v>
          </cell>
          <cell r="J1184">
            <v>120523</v>
          </cell>
          <cell r="L1184" t="str">
            <v>9.70359</v>
          </cell>
          <cell r="M1184" t="str">
            <v>-73.28087</v>
          </cell>
        </row>
        <row r="1185">
          <cell r="C1185">
            <v>7088</v>
          </cell>
          <cell r="D1185" t="str">
            <v>AMBULANTE MOVISTAR CURUMANI</v>
          </cell>
          <cell r="E1185" t="str">
            <v>S</v>
          </cell>
          <cell r="F1185" t="str">
            <v>20228</v>
          </cell>
          <cell r="G1185" t="str">
            <v xml:space="preserve">AMB </v>
          </cell>
          <cell r="H1185" t="str">
            <v>CL||8|||||#|14||-|33|||</v>
          </cell>
          <cell r="J1185">
            <v>120523</v>
          </cell>
          <cell r="L1185" t="str">
            <v>9.199663</v>
          </cell>
          <cell r="M1185" t="str">
            <v>-73.543478</v>
          </cell>
        </row>
        <row r="1186">
          <cell r="C1186">
            <v>7089</v>
          </cell>
          <cell r="D1186" t="str">
            <v>AMBULANTE CLARO CURUMANI</v>
          </cell>
          <cell r="E1186" t="str">
            <v>S</v>
          </cell>
          <cell r="F1186" t="str">
            <v>20228</v>
          </cell>
          <cell r="G1186" t="str">
            <v xml:space="preserve">AMB </v>
          </cell>
          <cell r="H1186" t="str">
            <v>CL||8|||||#|14||-|33|||</v>
          </cell>
          <cell r="J1186">
            <v>120523</v>
          </cell>
          <cell r="L1186" t="str">
            <v>9.199663</v>
          </cell>
          <cell r="M1186" t="str">
            <v>-73.543478</v>
          </cell>
        </row>
        <row r="1187">
          <cell r="C1187">
            <v>8189</v>
          </cell>
          <cell r="D1187" t="str">
            <v>CM BARRIO DIVINO NIÑO</v>
          </cell>
          <cell r="E1187" t="str">
            <v>S</v>
          </cell>
          <cell r="F1187" t="str">
            <v>20001</v>
          </cell>
          <cell r="G1187" t="str">
            <v>CM</v>
          </cell>
          <cell r="H1187" t="str">
            <v>CL 7D 39-28 LA NEVADA</v>
          </cell>
          <cell r="J1187">
            <v>0</v>
          </cell>
        </row>
        <row r="1188">
          <cell r="C1188">
            <v>8373</v>
          </cell>
          <cell r="D1188" t="str">
            <v>CM CORREGIMIRNTO SIMAÑA</v>
          </cell>
          <cell r="E1188" t="str">
            <v>S</v>
          </cell>
          <cell r="F1188" t="str">
            <v>20383</v>
          </cell>
          <cell r="G1188" t="str">
            <v xml:space="preserve">CM </v>
          </cell>
          <cell r="H1188" t="str">
            <v>OT||||||||||||||KDX 2-5 LA MATA</v>
          </cell>
          <cell r="J1188">
            <v>120523</v>
          </cell>
          <cell r="L1188" t="str">
            <v>8.610637</v>
          </cell>
          <cell r="M1188" t="str">
            <v>-73.732221</v>
          </cell>
        </row>
        <row r="1189">
          <cell r="C1189">
            <v>8160</v>
          </cell>
          <cell r="D1189" t="str">
            <v>CM CORREGIMIENTO ANTEQUERA</v>
          </cell>
          <cell r="E1189" t="str">
            <v>S</v>
          </cell>
          <cell r="F1189" t="str">
            <v>20787</v>
          </cell>
          <cell r="G1189" t="str">
            <v>CM</v>
          </cell>
          <cell r="H1189" t="str">
            <v xml:space="preserve">CALLE 7 N 3 - 25 </v>
          </cell>
          <cell r="J1189">
            <v>0</v>
          </cell>
        </row>
        <row r="1190">
          <cell r="C1190">
            <v>8521</v>
          </cell>
          <cell r="D1190" t="str">
            <v xml:space="preserve">CM BARRIO SAN BERNANDO </v>
          </cell>
          <cell r="E1190" t="str">
            <v>S</v>
          </cell>
          <cell r="F1190" t="str">
            <v>20550</v>
          </cell>
          <cell r="G1190" t="str">
            <v>CM</v>
          </cell>
          <cell r="H1190" t="str">
            <v>CL 10  10 - 41</v>
          </cell>
          <cell r="J1190">
            <v>0</v>
          </cell>
        </row>
        <row r="1191">
          <cell r="C1191">
            <v>7010</v>
          </cell>
          <cell r="D1191" t="str">
            <v>CDA OFICINA PRINCIPAL</v>
          </cell>
          <cell r="E1191" t="str">
            <v>S</v>
          </cell>
          <cell r="F1191" t="str">
            <v>20001</v>
          </cell>
          <cell r="G1191" t="str">
            <v xml:space="preserve">CDA </v>
          </cell>
          <cell r="H1191" t="str">
            <v>CR||12|||||#|16||-|42|||</v>
          </cell>
          <cell r="J1191">
            <v>0</v>
          </cell>
          <cell r="L1191" t="str">
            <v>10.473</v>
          </cell>
          <cell r="M1191" t="str">
            <v>-73.2494</v>
          </cell>
        </row>
        <row r="1192">
          <cell r="C1192">
            <v>8356</v>
          </cell>
          <cell r="D1192" t="str">
            <v>CM SABANA DEL VALLE</v>
          </cell>
          <cell r="E1192" t="str">
            <v>S</v>
          </cell>
          <cell r="F1192" t="str">
            <v>20001</v>
          </cell>
          <cell r="G1192" t="str">
            <v>CM</v>
          </cell>
          <cell r="H1192" t="str">
            <v>DG 18A N 30 - 15</v>
          </cell>
          <cell r="J1192">
            <v>0</v>
          </cell>
        </row>
        <row r="1193">
          <cell r="C1193">
            <v>7191</v>
          </cell>
          <cell r="D1193" t="str">
            <v>PDV CALLE ANCHA</v>
          </cell>
          <cell r="E1193" t="str">
            <v>S</v>
          </cell>
          <cell r="F1193" t="str">
            <v>20001</v>
          </cell>
          <cell r="G1193" t="str">
            <v xml:space="preserve">PDV </v>
          </cell>
          <cell r="H1193" t="str">
            <v>CR||41|||||#|5|C|-|13|||</v>
          </cell>
          <cell r="J1193">
            <v>120523</v>
          </cell>
          <cell r="L1193" t="str">
            <v>10.47995</v>
          </cell>
          <cell r="M1193" t="str">
            <v>-73.282063</v>
          </cell>
        </row>
        <row r="1194">
          <cell r="C1194">
            <v>8722</v>
          </cell>
          <cell r="D1194" t="str">
            <v>TESORERIA CALI</v>
          </cell>
          <cell r="E1194" t="str">
            <v>S</v>
          </cell>
          <cell r="F1194" t="str">
            <v>20001</v>
          </cell>
          <cell r="G1194" t="str">
            <v xml:space="preserve">SC </v>
          </cell>
          <cell r="J1194">
            <v>0</v>
          </cell>
        </row>
        <row r="1195">
          <cell r="C1195">
            <v>7192</v>
          </cell>
          <cell r="D1195" t="str">
            <v>PDV ORIENTE DE CALLEJAS</v>
          </cell>
          <cell r="E1195" t="str">
            <v>S</v>
          </cell>
          <cell r="F1195" t="str">
            <v>20001</v>
          </cell>
          <cell r="G1195" t="str">
            <v xml:space="preserve">PDV </v>
          </cell>
          <cell r="H1195" t="str">
            <v>CR||23|||||#|7|A|-|1|||</v>
          </cell>
          <cell r="J1195">
            <v>120523</v>
          </cell>
          <cell r="L1195" t="str">
            <v>10.4803266</v>
          </cell>
          <cell r="M1195" t="str">
            <v>-73.274939</v>
          </cell>
        </row>
        <row r="1196">
          <cell r="C1196">
            <v>7195</v>
          </cell>
          <cell r="D1196" t="str">
            <v>PDV 5 DE ENERO</v>
          </cell>
          <cell r="E1196" t="str">
            <v>S</v>
          </cell>
          <cell r="F1196" t="str">
            <v>20001</v>
          </cell>
          <cell r="G1196" t="str">
            <v xml:space="preserve">PDV </v>
          </cell>
          <cell r="H1196" t="str">
            <v>CL||9|B||||#|30|A|-|20|||</v>
          </cell>
          <cell r="J1196">
            <v>120523</v>
          </cell>
          <cell r="L1196" t="str">
            <v>10.472853</v>
          </cell>
          <cell r="M1196" t="str">
            <v>-73.273666</v>
          </cell>
        </row>
        <row r="1197">
          <cell r="C1197">
            <v>8133</v>
          </cell>
          <cell r="D1197" t="str">
            <v>CM LAVADERO LA 14</v>
          </cell>
          <cell r="E1197" t="str">
            <v>S</v>
          </cell>
          <cell r="F1197" t="str">
            <v>20001</v>
          </cell>
          <cell r="G1197" t="str">
            <v>CM</v>
          </cell>
          <cell r="H1197" t="str">
            <v>CALLE 14 N 19-07 JORGE DANGOND</v>
          </cell>
          <cell r="J1197">
            <v>0</v>
          </cell>
        </row>
        <row r="1198">
          <cell r="C1198">
            <v>8262</v>
          </cell>
          <cell r="D1198" t="str">
            <v>PDV LOCAL CENTRAL 4 VIENTOS</v>
          </cell>
          <cell r="E1198" t="str">
            <v>S</v>
          </cell>
          <cell r="F1198" t="str">
            <v>20250</v>
          </cell>
          <cell r="G1198" t="str">
            <v xml:space="preserve">PDV </v>
          </cell>
          <cell r="H1198" t="str">
            <v>CL||3|||||#|4||-|102|||</v>
          </cell>
          <cell r="J1198">
            <v>120523</v>
          </cell>
          <cell r="L1198" t="str">
            <v>9.7403</v>
          </cell>
          <cell r="M1198" t="str">
            <v>-73.7103</v>
          </cell>
        </row>
        <row r="1199">
          <cell r="C1199">
            <v>8272</v>
          </cell>
          <cell r="D1199" t="str">
            <v>CM ALEJANDRIA</v>
          </cell>
          <cell r="E1199" t="str">
            <v>S</v>
          </cell>
          <cell r="F1199" t="str">
            <v>20178</v>
          </cell>
          <cell r="G1199" t="str">
            <v>CM</v>
          </cell>
          <cell r="H1199" t="str">
            <v>CRA 4 N 1 - 130</v>
          </cell>
          <cell r="J1199">
            <v>0</v>
          </cell>
        </row>
        <row r="1200">
          <cell r="C1200">
            <v>8273</v>
          </cell>
          <cell r="D1200" t="str">
            <v>CM TIENDA EL SITIO</v>
          </cell>
          <cell r="E1200" t="str">
            <v>S</v>
          </cell>
          <cell r="F1200" t="str">
            <v>20178</v>
          </cell>
          <cell r="G1200" t="str">
            <v>CM</v>
          </cell>
          <cell r="H1200" t="str">
            <v>CALLE 7 N 1 - 63</v>
          </cell>
          <cell r="J1200">
            <v>0</v>
          </cell>
        </row>
        <row r="1201">
          <cell r="C1201">
            <v>8633</v>
          </cell>
          <cell r="D1201" t="str">
            <v>CM PARQUE RIO DE ORO</v>
          </cell>
          <cell r="E1201" t="str">
            <v>S</v>
          </cell>
          <cell r="F1201" t="str">
            <v>20614</v>
          </cell>
          <cell r="G1201" t="str">
            <v>CM</v>
          </cell>
          <cell r="H1201" t="str">
            <v>MZ H  7 - 180</v>
          </cell>
          <cell r="J1201">
            <v>0</v>
          </cell>
        </row>
        <row r="1202">
          <cell r="C1202">
            <v>8634</v>
          </cell>
          <cell r="D1202" t="str">
            <v xml:space="preserve">CM LA QUINTA </v>
          </cell>
          <cell r="E1202" t="str">
            <v>S</v>
          </cell>
          <cell r="F1202" t="str">
            <v>20614</v>
          </cell>
          <cell r="G1202" t="str">
            <v>CM</v>
          </cell>
          <cell r="H1202" t="str">
            <v>CL 5  - 116</v>
          </cell>
          <cell r="J1202">
            <v>0</v>
          </cell>
        </row>
        <row r="1203">
          <cell r="C1203">
            <v>8097</v>
          </cell>
          <cell r="D1203" t="str">
            <v>PDV LOCAL 1° DE MAYO</v>
          </cell>
          <cell r="E1203" t="str">
            <v>S</v>
          </cell>
          <cell r="F1203" t="str">
            <v>20710</v>
          </cell>
          <cell r="G1203" t="str">
            <v xml:space="preserve">PDV </v>
          </cell>
          <cell r="H1203" t="str">
            <v>CR||4|||||#|1|D|-|25|||</v>
          </cell>
          <cell r="J1203">
            <v>120523</v>
          </cell>
          <cell r="L1203" t="str">
            <v>7.7639</v>
          </cell>
          <cell r="M1203" t="str">
            <v>-73.39347</v>
          </cell>
        </row>
        <row r="1204">
          <cell r="C1204">
            <v>8129</v>
          </cell>
          <cell r="D1204" t="str">
            <v>CM CRA 10 CON 18</v>
          </cell>
          <cell r="E1204" t="str">
            <v>S</v>
          </cell>
          <cell r="F1204" t="str">
            <v>20001</v>
          </cell>
          <cell r="G1204" t="str">
            <v>CM</v>
          </cell>
          <cell r="H1204" t="str">
            <v>CR 10 18-103 GAITAN</v>
          </cell>
          <cell r="J1204">
            <v>0</v>
          </cell>
        </row>
        <row r="1205">
          <cell r="C1205">
            <v>8130</v>
          </cell>
          <cell r="D1205" t="str">
            <v>CM FLOWER</v>
          </cell>
          <cell r="E1205" t="str">
            <v>S</v>
          </cell>
          <cell r="F1205" t="str">
            <v>20001</v>
          </cell>
          <cell r="G1205" t="str">
            <v>CM</v>
          </cell>
          <cell r="H1205" t="str">
            <v>CL 16 19-31 JORGE DANGOND</v>
          </cell>
          <cell r="J1205">
            <v>0</v>
          </cell>
          <cell r="L1205" t="str">
            <v>7.086729</v>
          </cell>
          <cell r="M1205" t="str">
            <v>-70.756934</v>
          </cell>
        </row>
        <row r="1206">
          <cell r="C1206">
            <v>8319</v>
          </cell>
          <cell r="D1206" t="str">
            <v>CM LA CEIBA</v>
          </cell>
          <cell r="E1206" t="str">
            <v>S</v>
          </cell>
          <cell r="F1206" t="str">
            <v>20045</v>
          </cell>
          <cell r="G1206" t="str">
            <v>CM</v>
          </cell>
          <cell r="H1206" t="str">
            <v>CRA 6 N 5 - 31</v>
          </cell>
          <cell r="J1206">
            <v>0</v>
          </cell>
        </row>
        <row r="1207">
          <cell r="C1207">
            <v>8426</v>
          </cell>
          <cell r="D1207" t="str">
            <v>CM HOTEL MOCARY</v>
          </cell>
          <cell r="E1207" t="str">
            <v>S</v>
          </cell>
          <cell r="F1207" t="str">
            <v>20228</v>
          </cell>
          <cell r="G1207" t="str">
            <v>CM</v>
          </cell>
          <cell r="H1207" t="str">
            <v>CL 8  16 - 51</v>
          </cell>
          <cell r="J1207">
            <v>0</v>
          </cell>
        </row>
        <row r="1208">
          <cell r="C1208">
            <v>8274</v>
          </cell>
          <cell r="D1208" t="str">
            <v>CM DROGUERIA EXITO DE SABER</v>
          </cell>
          <cell r="E1208" t="str">
            <v>S</v>
          </cell>
          <cell r="F1208" t="str">
            <v>20001</v>
          </cell>
          <cell r="G1208" t="str">
            <v>CM</v>
          </cell>
          <cell r="H1208" t="str">
            <v>CRA 19C N 1 - 75 LA ESPERANZA</v>
          </cell>
          <cell r="J1208">
            <v>0</v>
          </cell>
        </row>
        <row r="1209">
          <cell r="C1209">
            <v>8654</v>
          </cell>
          <cell r="D1209" t="str">
            <v>CM POPONTE</v>
          </cell>
          <cell r="E1209" t="str">
            <v>S</v>
          </cell>
          <cell r="F1209" t="str">
            <v>20178</v>
          </cell>
          <cell r="G1209" t="str">
            <v xml:space="preserve">CM </v>
          </cell>
          <cell r="H1209" t="str">
            <v>CL||3|||||#|5||-|75|||</v>
          </cell>
          <cell r="J1209">
            <v>120523</v>
          </cell>
          <cell r="L1209" t="str">
            <v>9.4242</v>
          </cell>
          <cell r="M1209" t="str">
            <v>-73.4114</v>
          </cell>
        </row>
        <row r="1210">
          <cell r="C1210">
            <v>9120</v>
          </cell>
          <cell r="D1210" t="str">
            <v>CM LA GRAN FULL</v>
          </cell>
          <cell r="E1210" t="str">
            <v>S</v>
          </cell>
          <cell r="F1210" t="str">
            <v>20013</v>
          </cell>
          <cell r="G1210" t="str">
            <v xml:space="preserve">CM </v>
          </cell>
          <cell r="H1210" t="str">
            <v>CL||20|||||#|15||-|110|||</v>
          </cell>
          <cell r="J1210">
            <v>120523</v>
          </cell>
          <cell r="L1210" t="str">
            <v>10.03712</v>
          </cell>
          <cell r="M1210" t="str">
            <v>-73.23655</v>
          </cell>
        </row>
        <row r="1211">
          <cell r="C1211">
            <v>9205</v>
          </cell>
          <cell r="D1211" t="str">
            <v>CDA AVENIDA MILITAR</v>
          </cell>
          <cell r="E1211" t="str">
            <v>S</v>
          </cell>
          <cell r="F1211" t="str">
            <v>20001</v>
          </cell>
          <cell r="G1211" t="str">
            <v xml:space="preserve">CDA </v>
          </cell>
          <cell r="H1211" t="str">
            <v>OT||||||||||||||MZ 18 20 LO 03</v>
          </cell>
          <cell r="J1211">
            <v>120523</v>
          </cell>
          <cell r="L1211" t="str">
            <v>10.45206667</v>
          </cell>
          <cell r="M1211" t="str">
            <v>-73.26682422</v>
          </cell>
        </row>
        <row r="1212">
          <cell r="C1212">
            <v>16897</v>
          </cell>
          <cell r="D1212" t="str">
            <v>PDV EL CORRALITO</v>
          </cell>
          <cell r="E1212" t="str">
            <v>S</v>
          </cell>
          <cell r="F1212" t="str">
            <v>20001</v>
          </cell>
          <cell r="G1212" t="str">
            <v xml:space="preserve">PDV </v>
          </cell>
          <cell r="H1212" t="str">
            <v>CL||9|B||||#|30|A|-|20|||</v>
          </cell>
          <cell r="J1212">
            <v>120523</v>
          </cell>
          <cell r="L1212" t="str">
            <v>10.480269</v>
          </cell>
          <cell r="M1212" t="str">
            <v>-73.268037</v>
          </cell>
        </row>
        <row r="1213">
          <cell r="C1213">
            <v>16918</v>
          </cell>
          <cell r="D1213" t="str">
            <v>PDV ESTADIO</v>
          </cell>
          <cell r="E1213" t="str">
            <v>S</v>
          </cell>
          <cell r="F1213" t="str">
            <v>20045</v>
          </cell>
          <cell r="G1213" t="str">
            <v xml:space="preserve">PDV </v>
          </cell>
          <cell r="H1213" t="str">
            <v>CR||16|||||#|11|B|-|54|||</v>
          </cell>
          <cell r="J1213">
            <v>120523</v>
          </cell>
          <cell r="L1213" t="str">
            <v>9.70774</v>
          </cell>
          <cell r="M1213" t="str">
            <v>-73.28034</v>
          </cell>
        </row>
        <row r="1214">
          <cell r="C1214">
            <v>17130</v>
          </cell>
          <cell r="D1214" t="str">
            <v>CM EL CONTENTO</v>
          </cell>
          <cell r="E1214" t="str">
            <v>S</v>
          </cell>
          <cell r="F1214" t="str">
            <v>20295</v>
          </cell>
          <cell r="G1214" t="str">
            <v xml:space="preserve">CM </v>
          </cell>
          <cell r="H1214" t="str">
            <v>CL||2|||||#|3||-|83|||</v>
          </cell>
          <cell r="J1214">
            <v>120523</v>
          </cell>
          <cell r="L1214" t="str">
            <v>8.2027369</v>
          </cell>
          <cell r="M1214" t="str">
            <v>-73.7619433</v>
          </cell>
        </row>
        <row r="1215">
          <cell r="C1215">
            <v>17156</v>
          </cell>
          <cell r="D1215" t="str">
            <v>CM MI FUTURO LA PAZ</v>
          </cell>
          <cell r="E1215" t="str">
            <v>S</v>
          </cell>
          <cell r="F1215" t="str">
            <v>20621</v>
          </cell>
          <cell r="G1215" t="str">
            <v xml:space="preserve">CM </v>
          </cell>
          <cell r="H1215" t="str">
            <v>CR||11|||||#|2||-|11|||</v>
          </cell>
          <cell r="J1215">
            <v>120523</v>
          </cell>
          <cell r="L1215" t="str">
            <v>10.386347</v>
          </cell>
          <cell r="M1215" t="str">
            <v>-73.17473</v>
          </cell>
        </row>
        <row r="1216">
          <cell r="C1216">
            <v>18593</v>
          </cell>
          <cell r="D1216" t="str">
            <v xml:space="preserve">CM ANGIE </v>
          </cell>
          <cell r="E1216" t="str">
            <v>S</v>
          </cell>
          <cell r="F1216" t="str">
            <v>20770</v>
          </cell>
          <cell r="G1216" t="str">
            <v xml:space="preserve">CM </v>
          </cell>
          <cell r="H1216" t="str">
            <v>CR||11|||||#|11||-|43|||</v>
          </cell>
          <cell r="J1216">
            <v>120523</v>
          </cell>
          <cell r="L1216" t="str">
            <v>8.00199</v>
          </cell>
          <cell r="M1216" t="str">
            <v>-73.51144</v>
          </cell>
        </row>
        <row r="1217">
          <cell r="C1217">
            <v>9097</v>
          </cell>
          <cell r="D1217" t="str">
            <v>PDV PARQUE PRIMERO DE MAYO</v>
          </cell>
          <cell r="E1217" t="str">
            <v>S</v>
          </cell>
          <cell r="F1217" t="str">
            <v>20001</v>
          </cell>
          <cell r="G1217" t="str">
            <v xml:space="preserve">PDV </v>
          </cell>
          <cell r="H1217" t="str">
            <v>CR||20|||||#|22|C|-|4|||</v>
          </cell>
          <cell r="J1217">
            <v>120523</v>
          </cell>
          <cell r="L1217" t="str">
            <v>10.4589</v>
          </cell>
          <cell r="M1217" t="str">
            <v>-73.2536</v>
          </cell>
        </row>
        <row r="1218">
          <cell r="C1218">
            <v>8377</v>
          </cell>
          <cell r="D1218" t="str">
            <v>PDV CABINA TIENDA BADILLO</v>
          </cell>
          <cell r="E1218" t="str">
            <v>S</v>
          </cell>
          <cell r="F1218" t="str">
            <v>20001</v>
          </cell>
          <cell r="G1218" t="str">
            <v xml:space="preserve">PDV </v>
          </cell>
          <cell r="H1218" t="str">
            <v>OT||||||||||||||MZ 272-11 GARUPAL 3 ETAPA</v>
          </cell>
          <cell r="J1218">
            <v>120523</v>
          </cell>
          <cell r="L1218" t="str">
            <v>10.481737</v>
          </cell>
          <cell r="M1218" t="str">
            <v>-73.26188</v>
          </cell>
        </row>
        <row r="1219">
          <cell r="C1219">
            <v>8290</v>
          </cell>
          <cell r="D1219" t="str">
            <v>PDV PATINODROMO</v>
          </cell>
          <cell r="E1219" t="str">
            <v>S</v>
          </cell>
          <cell r="F1219" t="str">
            <v>20011</v>
          </cell>
          <cell r="G1219" t="str">
            <v xml:space="preserve">PDV </v>
          </cell>
          <cell r="H1219" t="str">
            <v>OT||||||||||||||KDX 130 SAN ANDRES</v>
          </cell>
          <cell r="J1219">
            <v>120523</v>
          </cell>
          <cell r="L1219" t="str">
            <v>8.295554</v>
          </cell>
          <cell r="M1219" t="str">
            <v>-73.623146</v>
          </cell>
        </row>
        <row r="1220">
          <cell r="C1220">
            <v>17867</v>
          </cell>
          <cell r="D1220" t="str">
            <v>CM MEDELLIN</v>
          </cell>
          <cell r="E1220" t="str">
            <v>S</v>
          </cell>
          <cell r="F1220" t="str">
            <v>20250</v>
          </cell>
          <cell r="G1220" t="str">
            <v xml:space="preserve">CM </v>
          </cell>
          <cell r="H1220" t="str">
            <v>CR||4|||||#|4||-|5|||</v>
          </cell>
          <cell r="J1220">
            <v>120523</v>
          </cell>
          <cell r="L1220" t="str">
            <v>9.6194</v>
          </cell>
          <cell r="M1220" t="str">
            <v>-73.5947</v>
          </cell>
        </row>
        <row r="1221">
          <cell r="C1221">
            <v>20022</v>
          </cell>
          <cell r="D1221" t="str">
            <v>CM VERONIS</v>
          </cell>
          <cell r="E1221" t="str">
            <v>S</v>
          </cell>
          <cell r="F1221" t="str">
            <v>20011</v>
          </cell>
          <cell r="G1221" t="str">
            <v xml:space="preserve">CM </v>
          </cell>
          <cell r="H1221" t="str">
            <v>CR||10|B||||#|16|A|-|61|||</v>
          </cell>
          <cell r="J1221">
            <v>120523</v>
          </cell>
          <cell r="L1221" t="str">
            <v>8.294883</v>
          </cell>
          <cell r="M1221" t="str">
            <v>-73.620793</v>
          </cell>
        </row>
        <row r="1222">
          <cell r="C1222">
            <v>20558</v>
          </cell>
          <cell r="D1222" t="str">
            <v>PDV ANTIGUO CDA LA JAGUA</v>
          </cell>
          <cell r="E1222" t="str">
            <v>S</v>
          </cell>
          <cell r="F1222" t="str">
            <v>20400</v>
          </cell>
          <cell r="G1222" t="str">
            <v xml:space="preserve">PDV </v>
          </cell>
          <cell r="H1222" t="str">
            <v>DG||1|||||#|5||-|31|||</v>
          </cell>
          <cell r="J1222">
            <v>120523</v>
          </cell>
          <cell r="L1222" t="str">
            <v>9.5647</v>
          </cell>
          <cell r="M1222" t="str">
            <v>-73.333901</v>
          </cell>
        </row>
        <row r="1223">
          <cell r="C1223">
            <v>17097</v>
          </cell>
          <cell r="D1223" t="str">
            <v>PDV URBANIZACIÓN BELLA VISTO</v>
          </cell>
          <cell r="E1223" t="str">
            <v>S</v>
          </cell>
          <cell r="F1223" t="str">
            <v>20001</v>
          </cell>
          <cell r="G1223" t="str">
            <v xml:space="preserve">PDV </v>
          </cell>
          <cell r="H1223" t="str">
            <v>OT||||||||||||||MZ 8 CASA 40</v>
          </cell>
          <cell r="J1223">
            <v>120523</v>
          </cell>
          <cell r="L1223" t="str">
            <v>10.4702</v>
          </cell>
          <cell r="M1223" t="str">
            <v>-73.2857</v>
          </cell>
        </row>
        <row r="1224">
          <cell r="C1224">
            <v>18211</v>
          </cell>
          <cell r="D1224" t="str">
            <v>PDV VILLAS DE SAN ANDRES</v>
          </cell>
          <cell r="E1224" t="str">
            <v>S</v>
          </cell>
          <cell r="F1224" t="str">
            <v>20011</v>
          </cell>
          <cell r="G1224" t="str">
            <v xml:space="preserve">PDV </v>
          </cell>
          <cell r="H1224" t="str">
            <v>CL||11|||||#|10|A|-|175|||</v>
          </cell>
          <cell r="J1224">
            <v>120523</v>
          </cell>
          <cell r="L1224" t="str">
            <v>8.2571948</v>
          </cell>
          <cell r="M1224" t="str">
            <v>-73.593635</v>
          </cell>
        </row>
        <row r="1225">
          <cell r="C1225">
            <v>8198</v>
          </cell>
          <cell r="D1225" t="str">
            <v>TIENDA ZAPATOCA</v>
          </cell>
          <cell r="E1225" t="str">
            <v>S</v>
          </cell>
          <cell r="F1225" t="str">
            <v>20001</v>
          </cell>
          <cell r="G1225" t="str">
            <v xml:space="preserve">CM </v>
          </cell>
          <cell r="H1225" t="str">
            <v>CL||15|||||#|15||-|40|||</v>
          </cell>
          <cell r="J1225">
            <v>120523</v>
          </cell>
          <cell r="L1225" t="str">
            <v>10.4701</v>
          </cell>
          <cell r="M1225" t="str">
            <v>-73.2426</v>
          </cell>
        </row>
        <row r="1226">
          <cell r="C1226">
            <v>20342</v>
          </cell>
          <cell r="D1226" t="str">
            <v>CM COYUPE</v>
          </cell>
          <cell r="E1226" t="str">
            <v>S</v>
          </cell>
          <cell r="F1226" t="str">
            <v>20250</v>
          </cell>
          <cell r="G1226" t="str">
            <v xml:space="preserve">CM </v>
          </cell>
          <cell r="H1226" t="str">
            <v>CR||8|||||#|13|N|-|23|||</v>
          </cell>
          <cell r="J1226">
            <v>120523</v>
          </cell>
          <cell r="L1226" t="str">
            <v>9.6756</v>
          </cell>
          <cell r="M1226" t="str">
            <v>-73.7413</v>
          </cell>
        </row>
        <row r="1227">
          <cell r="C1227">
            <v>9163</v>
          </cell>
          <cell r="D1227" t="str">
            <v>CM PATILLAL</v>
          </cell>
          <cell r="E1227" t="str">
            <v>S</v>
          </cell>
          <cell r="F1227" t="str">
            <v>20001</v>
          </cell>
          <cell r="G1227" t="str">
            <v xml:space="preserve">CM </v>
          </cell>
          <cell r="H1227" t="str">
            <v>CL||6|||||#|3||-|44|||</v>
          </cell>
          <cell r="J1227">
            <v>120523</v>
          </cell>
          <cell r="L1227" t="str">
            <v>10.705703</v>
          </cell>
          <cell r="M1227" t="str">
            <v>-73.211944</v>
          </cell>
        </row>
        <row r="1228">
          <cell r="C1228">
            <v>8150</v>
          </cell>
          <cell r="D1228" t="str">
            <v>PDV LOCAL LA ISLA</v>
          </cell>
          <cell r="E1228" t="str">
            <v>S</v>
          </cell>
          <cell r="F1228" t="str">
            <v>20011</v>
          </cell>
          <cell r="G1228" t="str">
            <v xml:space="preserve">PDV </v>
          </cell>
          <cell r="H1228" t="str">
            <v>CR||21|||||#|8||-|5|||</v>
          </cell>
          <cell r="J1228">
            <v>120523</v>
          </cell>
          <cell r="L1228" t="str">
            <v>8.3133958</v>
          </cell>
          <cell r="M1228" t="str">
            <v>-73.6101715</v>
          </cell>
        </row>
        <row r="1229">
          <cell r="C1229">
            <v>8289</v>
          </cell>
          <cell r="D1229" t="str">
            <v>PDV VILLA MOSQUITO</v>
          </cell>
          <cell r="E1229" t="str">
            <v>S</v>
          </cell>
          <cell r="F1229" t="str">
            <v>20011</v>
          </cell>
          <cell r="G1229" t="str">
            <v xml:space="preserve">PDV </v>
          </cell>
          <cell r="H1229" t="str">
            <v>CL||5|||||#|31||-|80|||</v>
          </cell>
          <cell r="J1229">
            <v>120523</v>
          </cell>
          <cell r="L1229" t="str">
            <v>8.296792</v>
          </cell>
          <cell r="M1229" t="str">
            <v>-73.619418</v>
          </cell>
        </row>
        <row r="1230">
          <cell r="C1230">
            <v>17063</v>
          </cell>
          <cell r="D1230" t="str">
            <v>CM GALAN</v>
          </cell>
          <cell r="E1230" t="str">
            <v>S</v>
          </cell>
          <cell r="F1230" t="str">
            <v>20011</v>
          </cell>
          <cell r="G1230" t="str">
            <v xml:space="preserve">CM </v>
          </cell>
          <cell r="H1230" t="str">
            <v>CL||7|A||||#|1||-|20|||</v>
          </cell>
          <cell r="J1230">
            <v>120523</v>
          </cell>
          <cell r="L1230" t="str">
            <v>8.305544</v>
          </cell>
          <cell r="M1230" t="str">
            <v>-73.601146</v>
          </cell>
        </row>
        <row r="1231">
          <cell r="C1231">
            <v>17926</v>
          </cell>
          <cell r="D1231" t="str">
            <v>CM LA PALMA</v>
          </cell>
          <cell r="E1231" t="str">
            <v>S</v>
          </cell>
          <cell r="F1231" t="str">
            <v>20710</v>
          </cell>
          <cell r="G1231" t="str">
            <v xml:space="preserve">CM </v>
          </cell>
          <cell r="H1231" t="str">
            <v>CL||1|A||||#|20||-|27|||</v>
          </cell>
          <cell r="J1231">
            <v>120523</v>
          </cell>
          <cell r="L1231" t="str">
            <v>7.732181</v>
          </cell>
          <cell r="M1231" t="str">
            <v>-73.434311</v>
          </cell>
        </row>
        <row r="1232">
          <cell r="C1232">
            <v>18208</v>
          </cell>
          <cell r="D1232" t="str">
            <v>PDV LA TRINCHERA</v>
          </cell>
          <cell r="E1232" t="str">
            <v>S</v>
          </cell>
          <cell r="F1232" t="str">
            <v>20178</v>
          </cell>
          <cell r="G1232" t="str">
            <v xml:space="preserve">PDV </v>
          </cell>
          <cell r="H1232" t="str">
            <v>CL||8|||||#|6|A|-|81|||</v>
          </cell>
          <cell r="J1232">
            <v>120523</v>
          </cell>
          <cell r="L1232" t="str">
            <v>9.3634</v>
          </cell>
          <cell r="M1232" t="str">
            <v>-73.5988</v>
          </cell>
        </row>
        <row r="1233">
          <cell r="C1233">
            <v>23995</v>
          </cell>
          <cell r="D1233" t="str">
            <v xml:space="preserve">PDV LA VICTORIA </v>
          </cell>
          <cell r="E1233" t="str">
            <v>S</v>
          </cell>
          <cell r="F1233" t="str">
            <v>20400</v>
          </cell>
          <cell r="G1233" t="str">
            <v xml:space="preserve">PDV </v>
          </cell>
          <cell r="H1233" t="str">
            <v>CL||8|||||#|1||-|71|||</v>
          </cell>
          <cell r="J1233">
            <v>120523</v>
          </cell>
          <cell r="L1233" t="str">
            <v>9.5876</v>
          </cell>
          <cell r="M1233" t="str">
            <v>-73.2333</v>
          </cell>
        </row>
        <row r="1234">
          <cell r="C1234">
            <v>21891</v>
          </cell>
          <cell r="D1234" t="str">
            <v>CM LOS CRISTALES</v>
          </cell>
          <cell r="E1234" t="str">
            <v>S</v>
          </cell>
          <cell r="F1234" t="str">
            <v>20770</v>
          </cell>
          <cell r="G1234" t="str">
            <v xml:space="preserve">CM </v>
          </cell>
          <cell r="H1234" t="str">
            <v>OT||||||||||||||CL 21 M 126</v>
          </cell>
          <cell r="J1234">
            <v>120523</v>
          </cell>
          <cell r="L1234" t="str">
            <v>7.997853</v>
          </cell>
          <cell r="M1234" t="str">
            <v>-73.507483</v>
          </cell>
        </row>
        <row r="1235">
          <cell r="C1235">
            <v>39539</v>
          </cell>
          <cell r="D1235" t="str">
            <v>PDV EL BOLICHE</v>
          </cell>
          <cell r="E1235" t="str">
            <v>S</v>
          </cell>
          <cell r="F1235" t="str">
            <v>20001</v>
          </cell>
          <cell r="G1235" t="str">
            <v xml:space="preserve">PDV </v>
          </cell>
          <cell r="H1235" t="str">
            <v>CR||7|||||#|19|C|-|9|||</v>
          </cell>
          <cell r="J1235">
            <v>120523</v>
          </cell>
          <cell r="L1235" t="str">
            <v>10.4692</v>
          </cell>
          <cell r="M1235" t="str">
            <v>-73.2424</v>
          </cell>
        </row>
        <row r="1236">
          <cell r="C1236">
            <v>42394</v>
          </cell>
          <cell r="D1236" t="str">
            <v>PDV ANTIGUO CDA LA LOMA</v>
          </cell>
          <cell r="E1236" t="str">
            <v>S</v>
          </cell>
          <cell r="F1236" t="str">
            <v>20250</v>
          </cell>
          <cell r="H1236" t="str">
            <v>CR||4|||||#|4||-|91|||</v>
          </cell>
          <cell r="J1236">
            <v>120523</v>
          </cell>
          <cell r="L1236" t="str">
            <v>9.6207</v>
          </cell>
          <cell r="M1236" t="str">
            <v>-73.5937</v>
          </cell>
        </row>
        <row r="1237">
          <cell r="C1237">
            <v>24057</v>
          </cell>
          <cell r="D1237" t="str">
            <v>CM LA REBAJA CODAZZI N° 2</v>
          </cell>
          <cell r="E1237" t="str">
            <v>S</v>
          </cell>
          <cell r="F1237" t="str">
            <v>20013</v>
          </cell>
          <cell r="G1237" t="str">
            <v xml:space="preserve">CM </v>
          </cell>
          <cell r="H1237" t="str">
            <v>CR||16|||||#|12||-|1|||</v>
          </cell>
          <cell r="J1237">
            <v>120523</v>
          </cell>
          <cell r="L1237" t="str">
            <v>10.033281</v>
          </cell>
          <cell r="M1237" t="str">
            <v>-73.235601</v>
          </cell>
        </row>
        <row r="1238">
          <cell r="C1238">
            <v>40354</v>
          </cell>
          <cell r="D1238" t="str">
            <v>PDV FERRETERIA CODAZZI</v>
          </cell>
          <cell r="E1238" t="str">
            <v>S</v>
          </cell>
          <cell r="F1238" t="str">
            <v>20013</v>
          </cell>
          <cell r="G1238" t="str">
            <v xml:space="preserve">PDV </v>
          </cell>
          <cell r="H1238" t="str">
            <v>CL||20|||||#|24||-|55|||</v>
          </cell>
          <cell r="J1238">
            <v>120523</v>
          </cell>
          <cell r="L1238" t="str">
            <v>10.03642</v>
          </cell>
          <cell r="M1238" t="str">
            <v>-73.2418</v>
          </cell>
        </row>
        <row r="1239">
          <cell r="C1239">
            <v>40375</v>
          </cell>
          <cell r="D1239" t="str">
            <v>PDV ANTIGUO CDA MANAURE</v>
          </cell>
          <cell r="E1239" t="str">
            <v>S</v>
          </cell>
          <cell r="F1239" t="str">
            <v>20443</v>
          </cell>
          <cell r="G1239" t="str">
            <v xml:space="preserve">PDV </v>
          </cell>
          <cell r="H1239" t="str">
            <v>CL||3|||||#|6|A|-|21|||</v>
          </cell>
          <cell r="J1239">
            <v>120523</v>
          </cell>
          <cell r="L1239" t="str">
            <v>10.39183499</v>
          </cell>
          <cell r="M1239" t="str">
            <v>-73.02827166</v>
          </cell>
        </row>
        <row r="1240">
          <cell r="C1240">
            <v>40614</v>
          </cell>
          <cell r="D1240" t="str">
            <v xml:space="preserve">CM EL FLACO </v>
          </cell>
          <cell r="E1240" t="str">
            <v>S</v>
          </cell>
          <cell r="F1240" t="str">
            <v>20750</v>
          </cell>
          <cell r="G1240" t="str">
            <v xml:space="preserve">CM </v>
          </cell>
          <cell r="H1240" t="str">
            <v>CL||3|A||||#|7||-|5|||</v>
          </cell>
          <cell r="J1240">
            <v>120523</v>
          </cell>
          <cell r="L1240" t="str">
            <v>10.24355</v>
          </cell>
          <cell r="M1240" t="str">
            <v>-73.14198</v>
          </cell>
        </row>
        <row r="1241">
          <cell r="C1241">
            <v>39672</v>
          </cell>
          <cell r="D1241" t="str">
            <v xml:space="preserve">PDV LA OCHO </v>
          </cell>
          <cell r="E1241" t="str">
            <v>S</v>
          </cell>
          <cell r="F1241" t="str">
            <v>20228</v>
          </cell>
          <cell r="G1241" t="str">
            <v xml:space="preserve">PDV </v>
          </cell>
          <cell r="H1241" t="str">
            <v>CL||8|||||#|14||-|71|||</v>
          </cell>
          <cell r="J1241">
            <v>120523</v>
          </cell>
          <cell r="L1241" t="str">
            <v>9.200007</v>
          </cell>
          <cell r="M1241" t="str">
            <v>-73.542093</v>
          </cell>
        </row>
        <row r="1242">
          <cell r="C1242">
            <v>40511</v>
          </cell>
          <cell r="D1242" t="str">
            <v xml:space="preserve">CM MI HERMANO Y YO </v>
          </cell>
          <cell r="E1242" t="str">
            <v>S</v>
          </cell>
          <cell r="F1242" t="str">
            <v>20228</v>
          </cell>
          <cell r="G1242" t="str">
            <v xml:space="preserve">CM </v>
          </cell>
          <cell r="H1242" t="str">
            <v>CL||6|||||#|10||-|88|||</v>
          </cell>
          <cell r="J1242">
            <v>120523</v>
          </cell>
          <cell r="L1242" t="str">
            <v>9.20018</v>
          </cell>
          <cell r="M1242" t="str">
            <v>-73.5394</v>
          </cell>
        </row>
        <row r="1243">
          <cell r="C1243">
            <v>40512</v>
          </cell>
          <cell r="D1243" t="str">
            <v xml:space="preserve">CM DELICIAS NUBIA </v>
          </cell>
          <cell r="E1243" t="str">
            <v>S</v>
          </cell>
          <cell r="F1243" t="str">
            <v>20045</v>
          </cell>
          <cell r="G1243" t="str">
            <v xml:space="preserve">CM </v>
          </cell>
          <cell r="H1243" t="str">
            <v>CR||13|||||#|10||-|54|||</v>
          </cell>
          <cell r="J1243">
            <v>120523</v>
          </cell>
          <cell r="L1243" t="str">
            <v>9.70035</v>
          </cell>
          <cell r="M1243" t="str">
            <v>-73.2741</v>
          </cell>
        </row>
        <row r="1244">
          <cell r="C1244">
            <v>41098</v>
          </cell>
          <cell r="D1244" t="str">
            <v>PDV ESQUINA MANAURE</v>
          </cell>
          <cell r="E1244" t="str">
            <v>S</v>
          </cell>
          <cell r="F1244" t="str">
            <v>20443</v>
          </cell>
          <cell r="H1244" t="str">
            <v>CL||3|||||#|8||-|3|||</v>
          </cell>
          <cell r="J1244">
            <v>120523</v>
          </cell>
          <cell r="L1244" t="str">
            <v>10.390953</v>
          </cell>
          <cell r="M1244" t="str">
            <v>-73.030385</v>
          </cell>
        </row>
        <row r="1245">
          <cell r="C1245">
            <v>41134</v>
          </cell>
          <cell r="D1245" t="str">
            <v>PDV ANTIGUO CDA CHIRIGUANA</v>
          </cell>
          <cell r="E1245" t="str">
            <v>S</v>
          </cell>
          <cell r="F1245" t="str">
            <v>20178</v>
          </cell>
          <cell r="H1245" t="str">
            <v>CL||8|||||#|5|A|-|4|||</v>
          </cell>
          <cell r="J1245">
            <v>120523</v>
          </cell>
          <cell r="L1245" t="str">
            <v>9.3637</v>
          </cell>
          <cell r="M1245" t="str">
            <v>-73.6013</v>
          </cell>
        </row>
        <row r="1246">
          <cell r="C1246">
            <v>41132</v>
          </cell>
          <cell r="D1246" t="str">
            <v>PDV PUENTECITO</v>
          </cell>
          <cell r="E1246" t="str">
            <v>S</v>
          </cell>
          <cell r="F1246" t="str">
            <v>20013</v>
          </cell>
          <cell r="H1246" t="str">
            <v>CR||16|||||#|5||-|11|||</v>
          </cell>
          <cell r="J1246">
            <v>120523</v>
          </cell>
          <cell r="L1246" t="str">
            <v>10.024718</v>
          </cell>
          <cell r="M1246" t="str">
            <v>-73.238914</v>
          </cell>
        </row>
        <row r="1247">
          <cell r="C1247">
            <v>40054</v>
          </cell>
          <cell r="D1247" t="str">
            <v>PDV COLEGIO GALAN LA 25</v>
          </cell>
          <cell r="E1247" t="str">
            <v>S</v>
          </cell>
          <cell r="F1247" t="str">
            <v>20001</v>
          </cell>
          <cell r="G1247" t="str">
            <v xml:space="preserve">PDV </v>
          </cell>
          <cell r="H1247" t="str">
            <v>TR||25|A||||#|20||-|4|||</v>
          </cell>
          <cell r="J1247">
            <v>120523</v>
          </cell>
          <cell r="L1247" t="str">
            <v>10.455466</v>
          </cell>
          <cell r="M1247" t="str">
            <v>-73.259642</v>
          </cell>
        </row>
        <row r="1248">
          <cell r="C1248">
            <v>40095</v>
          </cell>
          <cell r="D1248" t="str">
            <v>PDV LA POLICIA</v>
          </cell>
          <cell r="E1248" t="str">
            <v>S</v>
          </cell>
          <cell r="F1248" t="str">
            <v>20238</v>
          </cell>
          <cell r="G1248" t="str">
            <v xml:space="preserve">PDV </v>
          </cell>
          <cell r="H1248" t="str">
            <v>CR||4|||||#|13||-|170|||</v>
          </cell>
          <cell r="J1248">
            <v>120523</v>
          </cell>
          <cell r="L1248" t="str">
            <v>10.153389</v>
          </cell>
          <cell r="M1248" t="str">
            <v>-73.961684</v>
          </cell>
        </row>
        <row r="1249">
          <cell r="C1249">
            <v>41131</v>
          </cell>
          <cell r="D1249" t="str">
            <v>PDV PRINCIPAL LA JAGUA</v>
          </cell>
          <cell r="E1249" t="str">
            <v>S</v>
          </cell>
          <cell r="F1249" t="str">
            <v>20400</v>
          </cell>
          <cell r="H1249" t="str">
            <v>DG||1|||||#|16||-|167|||</v>
          </cell>
          <cell r="J1249">
            <v>120523</v>
          </cell>
          <cell r="L1249" t="str">
            <v>9.5654</v>
          </cell>
          <cell r="M1249" t="str">
            <v>-73.3313</v>
          </cell>
        </row>
        <row r="1250">
          <cell r="C1250">
            <v>41133</v>
          </cell>
          <cell r="D1250" t="str">
            <v>PDV LA 22</v>
          </cell>
          <cell r="E1250" t="str">
            <v>S</v>
          </cell>
          <cell r="F1250" t="str">
            <v>20013</v>
          </cell>
          <cell r="H1250" t="str">
            <v>CR||16|||||#|21||-|37|||</v>
          </cell>
          <cell r="J1250">
            <v>120523</v>
          </cell>
          <cell r="L1250" t="str">
            <v>10.0383</v>
          </cell>
          <cell r="M1250" t="str">
            <v>-73.2372</v>
          </cell>
        </row>
        <row r="1251">
          <cell r="C1251">
            <v>42508</v>
          </cell>
          <cell r="D1251" t="str">
            <v>TAT TS</v>
          </cell>
          <cell r="E1251" t="str">
            <v>S</v>
          </cell>
          <cell r="F1251" t="str">
            <v>20621</v>
          </cell>
          <cell r="H1251" t="str">
            <v>CL||6|||||#|6||-|42|||</v>
          </cell>
          <cell r="J1251">
            <v>120523</v>
          </cell>
          <cell r="L1251" t="str">
            <v>10.387032</v>
          </cell>
          <cell r="M1251" t="str">
            <v>-73.170469</v>
          </cell>
        </row>
        <row r="1252">
          <cell r="C1252">
            <v>40033</v>
          </cell>
          <cell r="D1252" t="str">
            <v>PDV LA 33</v>
          </cell>
          <cell r="E1252" t="str">
            <v>S</v>
          </cell>
          <cell r="F1252" t="str">
            <v>20011</v>
          </cell>
          <cell r="G1252" t="str">
            <v xml:space="preserve">PDV </v>
          </cell>
          <cell r="H1252" t="str">
            <v>CR||33|||||#|2||-|6|||</v>
          </cell>
          <cell r="J1252">
            <v>120523</v>
          </cell>
          <cell r="L1252" t="str">
            <v>8.3127859</v>
          </cell>
          <cell r="M1252" t="str">
            <v>-73.6035433</v>
          </cell>
        </row>
        <row r="1253">
          <cell r="C1253">
            <v>40518</v>
          </cell>
          <cell r="D1253" t="str">
            <v>CM IBIRICO</v>
          </cell>
          <cell r="E1253" t="str">
            <v>S</v>
          </cell>
          <cell r="F1253" t="str">
            <v>20175</v>
          </cell>
          <cell r="G1253" t="str">
            <v xml:space="preserve">CM </v>
          </cell>
          <cell r="H1253" t="str">
            <v>CR||3|||||#|5||-|41|||</v>
          </cell>
          <cell r="J1253">
            <v>120523</v>
          </cell>
          <cell r="L1253" t="str">
            <v>9.253894</v>
          </cell>
          <cell r="M1253" t="str">
            <v>-73.813439</v>
          </cell>
        </row>
        <row r="1254">
          <cell r="C1254">
            <v>42466</v>
          </cell>
          <cell r="D1254" t="str">
            <v>CDA NUEVO CODAZZI</v>
          </cell>
          <cell r="E1254" t="str">
            <v>S</v>
          </cell>
          <cell r="F1254" t="str">
            <v>20013</v>
          </cell>
          <cell r="H1254" t="str">
            <v>CR||16|A||||#|11|B|-|78|||</v>
          </cell>
          <cell r="J1254">
            <v>120523</v>
          </cell>
          <cell r="L1254" t="str">
            <v>10.032956</v>
          </cell>
          <cell r="M1254" t="str">
            <v>-73.236511</v>
          </cell>
        </row>
        <row r="1255">
          <cell r="C1255">
            <v>42467</v>
          </cell>
          <cell r="D1255" t="str">
            <v>AMBULANTE TIGO NUEVO CODAZZI</v>
          </cell>
          <cell r="E1255" t="str">
            <v>S</v>
          </cell>
          <cell r="F1255" t="str">
            <v>20013</v>
          </cell>
          <cell r="H1255" t="str">
            <v>CL||17|||||#|15||-|111|||</v>
          </cell>
          <cell r="J1255">
            <v>120523</v>
          </cell>
          <cell r="L1255" t="str">
            <v>10.032956</v>
          </cell>
          <cell r="M1255" t="str">
            <v>-73.236511</v>
          </cell>
        </row>
        <row r="1256">
          <cell r="C1256">
            <v>42563</v>
          </cell>
          <cell r="D1256" t="str">
            <v>PDV JERUSALEN VILLA MIRIAM</v>
          </cell>
          <cell r="E1256" t="str">
            <v>S</v>
          </cell>
          <cell r="F1256" t="str">
            <v>20001</v>
          </cell>
          <cell r="H1256" t="str">
            <v>OT||||||||||||||MZ 17 CA 14 AP 1  MIRYAN</v>
          </cell>
          <cell r="J1256">
            <v>120523</v>
          </cell>
          <cell r="L1256" t="str">
            <v>10.45059233</v>
          </cell>
          <cell r="M1256" t="str">
            <v>-73.26738897</v>
          </cell>
        </row>
        <row r="1257">
          <cell r="C1257">
            <v>39928</v>
          </cell>
          <cell r="D1257" t="str">
            <v>CM EL MONO</v>
          </cell>
          <cell r="E1257" t="str">
            <v>S</v>
          </cell>
          <cell r="F1257" t="str">
            <v>20228</v>
          </cell>
          <cell r="G1257" t="str">
            <v xml:space="preserve">CM </v>
          </cell>
          <cell r="H1257" t="str">
            <v>CR||9|||||#|9||-|69|||</v>
          </cell>
          <cell r="J1257">
            <v>120523</v>
          </cell>
          <cell r="L1257" t="str">
            <v>9.201905</v>
          </cell>
          <cell r="M1257" t="str">
            <v>-73.542893</v>
          </cell>
        </row>
        <row r="1258">
          <cell r="C1258">
            <v>9189</v>
          </cell>
          <cell r="D1258" t="str">
            <v>PDV CENTRO</v>
          </cell>
          <cell r="E1258" t="str">
            <v>S</v>
          </cell>
          <cell r="F1258" t="str">
            <v>20013</v>
          </cell>
          <cell r="G1258" t="str">
            <v xml:space="preserve">PDV </v>
          </cell>
          <cell r="H1258" t="str">
            <v>OT||||||||||||||CALLE CENTARL LLERASCA</v>
          </cell>
          <cell r="J1258">
            <v>120523</v>
          </cell>
          <cell r="L1258" t="str">
            <v>10.032351</v>
          </cell>
          <cell r="M1258" t="str">
            <v>-73.23554</v>
          </cell>
        </row>
        <row r="1259">
          <cell r="C1259">
            <v>43528</v>
          </cell>
          <cell r="D1259" t="str">
            <v>TAT LA LOMA</v>
          </cell>
          <cell r="E1259" t="str">
            <v>S</v>
          </cell>
          <cell r="F1259" t="str">
            <v>20250</v>
          </cell>
          <cell r="H1259" t="str">
            <v>CL||4|||||#|12||-|123|||</v>
          </cell>
          <cell r="J1259">
            <v>120523</v>
          </cell>
          <cell r="L1259" t="str">
            <v>9.6084</v>
          </cell>
          <cell r="M1259" t="str">
            <v>-73.6122</v>
          </cell>
        </row>
        <row r="1260">
          <cell r="C1260">
            <v>43614</v>
          </cell>
          <cell r="D1260" t="str">
            <v>CM YULY</v>
          </cell>
          <cell r="E1260" t="str">
            <v>S</v>
          </cell>
          <cell r="F1260" t="str">
            <v>20787</v>
          </cell>
          <cell r="H1260" t="str">
            <v>CR||4|||||#|1||-|8|||</v>
          </cell>
          <cell r="J1260">
            <v>120523</v>
          </cell>
          <cell r="L1260" t="str">
            <v>8.877026</v>
          </cell>
          <cell r="M1260" t="str">
            <v>-73.69382</v>
          </cell>
        </row>
        <row r="1261">
          <cell r="C1261">
            <v>43687</v>
          </cell>
          <cell r="D1261" t="str">
            <v xml:space="preserve">PDV LA PLAZA </v>
          </cell>
          <cell r="E1261" t="str">
            <v>S</v>
          </cell>
          <cell r="F1261" t="str">
            <v>20517</v>
          </cell>
          <cell r="H1261" t="str">
            <v>CL||5|||||#|10||-|79|||</v>
          </cell>
          <cell r="J1261">
            <v>120523</v>
          </cell>
          <cell r="L1261" t="str">
            <v>8.958523</v>
          </cell>
          <cell r="M1261" t="str">
            <v>-73.626323</v>
          </cell>
        </row>
        <row r="1262">
          <cell r="C1262">
            <v>43701</v>
          </cell>
          <cell r="D1262" t="str">
            <v>CM EL SEMAFORO PB</v>
          </cell>
          <cell r="E1262" t="str">
            <v>S</v>
          </cell>
          <cell r="F1262" t="str">
            <v>20570</v>
          </cell>
          <cell r="H1262" t="str">
            <v>CL||11|||||#|1||-|7|||</v>
          </cell>
          <cell r="J1262">
            <v>120523</v>
          </cell>
          <cell r="L1262" t="str">
            <v>10.417702</v>
          </cell>
          <cell r="M1262" t="str">
            <v>-73.5810493</v>
          </cell>
        </row>
        <row r="1263">
          <cell r="C1263">
            <v>43899</v>
          </cell>
          <cell r="D1263" t="str">
            <v xml:space="preserve">PDV LA GRAN VIDA </v>
          </cell>
          <cell r="E1263" t="str">
            <v>S</v>
          </cell>
          <cell r="F1263" t="str">
            <v>20001</v>
          </cell>
          <cell r="H1263" t="str">
            <v>CR||18|D||||#|23||-|52|||</v>
          </cell>
          <cell r="J1263">
            <v>120523</v>
          </cell>
          <cell r="L1263" t="str">
            <v>10.4593</v>
          </cell>
          <cell r="M1263" t="str">
            <v>-73.25</v>
          </cell>
        </row>
        <row r="1264">
          <cell r="C1264">
            <v>45371</v>
          </cell>
          <cell r="D1264" t="str">
            <v>PDV CAMPO SERRANO</v>
          </cell>
          <cell r="E1264" t="str">
            <v>S</v>
          </cell>
          <cell r="F1264" t="str">
            <v>20011</v>
          </cell>
          <cell r="H1264" t="str">
            <v>CL||8|||||#|8||-|102|||</v>
          </cell>
          <cell r="J1264">
            <v>120523</v>
          </cell>
          <cell r="L1264" t="str">
            <v>8.305782</v>
          </cell>
          <cell r="M1264" t="str">
            <v>-73.625536</v>
          </cell>
        </row>
        <row r="1265">
          <cell r="C1265">
            <v>47089</v>
          </cell>
          <cell r="D1265" t="str">
            <v>AMBULANTE BOSCONIA MOVISTAR</v>
          </cell>
          <cell r="E1265" t="str">
            <v>S</v>
          </cell>
          <cell r="F1265" t="str">
            <v>20060</v>
          </cell>
          <cell r="H1265" t="str">
            <v>CR 18 # 16-68</v>
          </cell>
          <cell r="J1265">
            <v>0</v>
          </cell>
          <cell r="L1265" t="str">
            <v>9.9723</v>
          </cell>
          <cell r="M1265" t="str">
            <v>-73.8858</v>
          </cell>
        </row>
        <row r="1266">
          <cell r="C1266">
            <v>47095</v>
          </cell>
          <cell r="D1266" t="str">
            <v>AMBULANTE SAN ALBERTO MOVISTAR</v>
          </cell>
          <cell r="E1266" t="str">
            <v>S</v>
          </cell>
          <cell r="F1266" t="str">
            <v>20710</v>
          </cell>
          <cell r="H1266" t="str">
            <v>CR 3 # 4-23</v>
          </cell>
          <cell r="J1266">
            <v>0</v>
          </cell>
          <cell r="L1266" t="str">
            <v>7.76126</v>
          </cell>
          <cell r="M1266" t="str">
            <v>-73.39128</v>
          </cell>
        </row>
        <row r="1267">
          <cell r="C1267">
            <v>47130</v>
          </cell>
          <cell r="D1267" t="str">
            <v>AMBULANTE LA JAGUA TIGO</v>
          </cell>
          <cell r="E1267" t="str">
            <v>S</v>
          </cell>
          <cell r="F1267" t="str">
            <v>20400</v>
          </cell>
          <cell r="H1267" t="str">
            <v>DG 1  # 5-31</v>
          </cell>
          <cell r="J1267">
            <v>0</v>
          </cell>
          <cell r="L1267" t="str">
            <v>9.5638</v>
          </cell>
          <cell r="M1267" t="str">
            <v>-73.3378</v>
          </cell>
        </row>
        <row r="1268">
          <cell r="C1268">
            <v>44252</v>
          </cell>
          <cell r="D1268" t="str">
            <v>CRR PAPELERIA MULTICOLORS</v>
          </cell>
          <cell r="E1268" t="str">
            <v>S</v>
          </cell>
          <cell r="F1268" t="str">
            <v>52001</v>
          </cell>
          <cell r="G1268" t="str">
            <v>CRR</v>
          </cell>
          <cell r="J1268">
            <v>0</v>
          </cell>
          <cell r="K1268">
            <v>90</v>
          </cell>
        </row>
        <row r="1269">
          <cell r="C1269">
            <v>44639</v>
          </cell>
          <cell r="D1269" t="str">
            <v xml:space="preserve">CM ECONOMIA MERCADO </v>
          </cell>
          <cell r="E1269" t="str">
            <v>S</v>
          </cell>
          <cell r="F1269" t="str">
            <v>20001</v>
          </cell>
          <cell r="H1269" t="str">
            <v>CL||20|||||#|13||-|06|||</v>
          </cell>
          <cell r="J1269">
            <v>120523</v>
          </cell>
          <cell r="L1269" t="str">
            <v>10.4668</v>
          </cell>
          <cell r="M1269" t="str">
            <v>-73.2467</v>
          </cell>
        </row>
        <row r="1270">
          <cell r="C1270">
            <v>44935</v>
          </cell>
          <cell r="D1270" t="str">
            <v xml:space="preserve">CM LAS TORRES </v>
          </cell>
          <cell r="E1270" t="str">
            <v>S</v>
          </cell>
          <cell r="F1270" t="str">
            <v>20178</v>
          </cell>
          <cell r="H1270" t="str">
            <v xml:space="preserve">OT||||||||||||||UR B GUILLERMO PALLARES </v>
          </cell>
          <cell r="J1270">
            <v>120523</v>
          </cell>
          <cell r="L1270" t="str">
            <v>9.3576</v>
          </cell>
          <cell r="M1270" t="str">
            <v>-73.5885</v>
          </cell>
        </row>
        <row r="1271">
          <cell r="C1271">
            <v>45138</v>
          </cell>
          <cell r="D1271" t="str">
            <v>PDV SANTANDER</v>
          </cell>
          <cell r="E1271" t="str">
            <v>S</v>
          </cell>
          <cell r="F1271" t="str">
            <v>20032</v>
          </cell>
          <cell r="H1271" t="str">
            <v>CL||12|||||#|5||-|14|||</v>
          </cell>
          <cell r="J1271">
            <v>120523</v>
          </cell>
          <cell r="L1271" t="str">
            <v>9.4957</v>
          </cell>
          <cell r="M1271" t="str">
            <v>-73.9755</v>
          </cell>
        </row>
        <row r="1272">
          <cell r="C1272">
            <v>45217</v>
          </cell>
          <cell r="D1272" t="str">
            <v>CM VARIEDADES VIVI</v>
          </cell>
          <cell r="E1272" t="str">
            <v>S</v>
          </cell>
          <cell r="F1272" t="str">
            <v>20175</v>
          </cell>
          <cell r="H1272" t="str">
            <v>CL||5|||||#|4||-|15|||</v>
          </cell>
          <cell r="J1272">
            <v>120523</v>
          </cell>
          <cell r="L1272" t="str">
            <v>9.1908408</v>
          </cell>
          <cell r="M1272" t="str">
            <v>-73.729785</v>
          </cell>
        </row>
        <row r="1273">
          <cell r="C1273">
            <v>45212</v>
          </cell>
          <cell r="D1273" t="str">
            <v>CM PAPELERIA JOHANA</v>
          </cell>
          <cell r="E1273" t="str">
            <v>S</v>
          </cell>
          <cell r="F1273" t="str">
            <v>20750</v>
          </cell>
          <cell r="H1273" t="str">
            <v>CL||4|||||#|7||-|33|||</v>
          </cell>
          <cell r="J1273">
            <v>120523</v>
          </cell>
          <cell r="L1273" t="str">
            <v>10.243681</v>
          </cell>
          <cell r="M1273" t="str">
            <v>-73.14321</v>
          </cell>
        </row>
        <row r="1274">
          <cell r="C1274">
            <v>23605</v>
          </cell>
          <cell r="D1274" t="str">
            <v>CM EL NEGRO 2</v>
          </cell>
          <cell r="E1274" t="str">
            <v>S</v>
          </cell>
          <cell r="F1274" t="str">
            <v>20060</v>
          </cell>
          <cell r="G1274" t="str">
            <v xml:space="preserve">CM </v>
          </cell>
          <cell r="H1274" t="str">
            <v>CR||23|||||#|21||-|15|||</v>
          </cell>
          <cell r="J1274">
            <v>120523</v>
          </cell>
          <cell r="L1274" t="str">
            <v>9.9726</v>
          </cell>
          <cell r="M1274" t="str">
            <v>-73.8928</v>
          </cell>
        </row>
        <row r="1275">
          <cell r="C1275">
            <v>44558</v>
          </cell>
          <cell r="D1275" t="str">
            <v>CM EL TREBOL 1</v>
          </cell>
          <cell r="E1275" t="str">
            <v>S</v>
          </cell>
          <cell r="F1275" t="str">
            <v>20060</v>
          </cell>
          <cell r="H1275" t="str">
            <v>CR||18|||||#|16||-|11|||</v>
          </cell>
          <cell r="J1275">
            <v>120523</v>
          </cell>
          <cell r="L1275" t="str">
            <v>9.9734</v>
          </cell>
          <cell r="M1275" t="str">
            <v>-73.8866</v>
          </cell>
        </row>
        <row r="1276">
          <cell r="C1276">
            <v>46298</v>
          </cell>
          <cell r="D1276" t="str">
            <v>CM BRASILIA</v>
          </cell>
          <cell r="E1276" t="str">
            <v>S</v>
          </cell>
          <cell r="F1276" t="str">
            <v>20011</v>
          </cell>
          <cell r="H1276" t="str">
            <v>CR||40|||||#|1||-|97|||</v>
          </cell>
          <cell r="J1276">
            <v>260523</v>
          </cell>
          <cell r="L1276" t="str">
            <v>8.3134994</v>
          </cell>
          <cell r="M1276" t="str">
            <v>-73.5967085</v>
          </cell>
        </row>
        <row r="1277">
          <cell r="C1277">
            <v>44773</v>
          </cell>
          <cell r="D1277" t="str">
            <v>CM BARRANCALEBRIJA ELIZA</v>
          </cell>
          <cell r="E1277" t="str">
            <v>S</v>
          </cell>
          <cell r="F1277" t="str">
            <v>20011</v>
          </cell>
          <cell r="H1277" t="str">
            <v>OT||||||||||||||CL1 CENTROBARRANCALEBRIJA</v>
          </cell>
          <cell r="J1277">
            <v>120523</v>
          </cell>
          <cell r="L1277" t="str">
            <v>8.01129</v>
          </cell>
          <cell r="M1277" t="str">
            <v>-73.719213</v>
          </cell>
        </row>
        <row r="1278">
          <cell r="C1278">
            <v>9179</v>
          </cell>
          <cell r="D1278" t="str">
            <v>PDV JACKIE CHAN</v>
          </cell>
          <cell r="E1278" t="str">
            <v>S</v>
          </cell>
          <cell r="F1278" t="str">
            <v>20060</v>
          </cell>
          <cell r="G1278" t="str">
            <v xml:space="preserve">PDV </v>
          </cell>
          <cell r="H1278" t="str">
            <v>CR||18|||||#|18||-|120|||</v>
          </cell>
          <cell r="J1278">
            <v>120523</v>
          </cell>
          <cell r="L1278" t="str">
            <v>9.9685</v>
          </cell>
          <cell r="M1278" t="str">
            <v>-73.8836</v>
          </cell>
        </row>
        <row r="1279">
          <cell r="C1279">
            <v>47952</v>
          </cell>
          <cell r="D1279" t="str">
            <v>CM TEL AVIV</v>
          </cell>
          <cell r="E1279" t="str">
            <v>S</v>
          </cell>
          <cell r="F1279" t="str">
            <v>20045</v>
          </cell>
          <cell r="H1279" t="str">
            <v>CR 2SUR # 12BIS-24 BARRIO 13 DE FEBRERO</v>
          </cell>
          <cell r="J1279">
            <v>0</v>
          </cell>
          <cell r="L1279" t="str">
            <v>9.70167</v>
          </cell>
          <cell r="M1279" t="str">
            <v>-73.27481</v>
          </cell>
        </row>
        <row r="1280">
          <cell r="C1280">
            <v>250033</v>
          </cell>
          <cell r="D1280" t="str">
            <v>CM MAYLU COSMETICS</v>
          </cell>
          <cell r="E1280" t="str">
            <v>S</v>
          </cell>
          <cell r="F1280" t="str">
            <v>20770</v>
          </cell>
          <cell r="H1280" t="str">
            <v xml:space="preserve">AGUAS BLANCAS- CALLE PRINCIPAL </v>
          </cell>
          <cell r="J1280">
            <v>0</v>
          </cell>
          <cell r="L1280" t="str">
            <v>7.854970</v>
          </cell>
          <cell r="M1280" t="str">
            <v>-73.550420</v>
          </cell>
        </row>
        <row r="1281">
          <cell r="C1281">
            <v>250295</v>
          </cell>
          <cell r="D1281" t="str">
            <v>CM NADIA</v>
          </cell>
          <cell r="E1281" t="str">
            <v>S</v>
          </cell>
          <cell r="F1281" t="str">
            <v>20013</v>
          </cell>
          <cell r="H1281" t="str">
            <v>CL 20 # 11A-78 BARRIO MACHIQUE</v>
          </cell>
          <cell r="J1281">
            <v>0</v>
          </cell>
          <cell r="L1281" t="str">
            <v>10.03801</v>
          </cell>
          <cell r="M1281" t="str">
            <v>-73.23181</v>
          </cell>
        </row>
        <row r="1282">
          <cell r="C1282">
            <v>44870</v>
          </cell>
          <cell r="D1282" t="str">
            <v xml:space="preserve">PDV EL MIRADOR </v>
          </cell>
          <cell r="E1282" t="str">
            <v>S</v>
          </cell>
          <cell r="F1282" t="str">
            <v>20621</v>
          </cell>
          <cell r="H1282" t="str">
            <v>OT||||||||||||||DG CEMENTERIO, EL MIRADOR</v>
          </cell>
          <cell r="J1282">
            <v>120523</v>
          </cell>
          <cell r="L1282" t="str">
            <v>10.3543</v>
          </cell>
          <cell r="M1282" t="str">
            <v>-73.05311</v>
          </cell>
        </row>
        <row r="1283">
          <cell r="C1283">
            <v>44826</v>
          </cell>
          <cell r="D1283" t="str">
            <v xml:space="preserve">CM KATIUSKA </v>
          </cell>
          <cell r="E1283" t="str">
            <v>S</v>
          </cell>
          <cell r="F1283" t="str">
            <v>20228</v>
          </cell>
          <cell r="H1283" t="str">
            <v>CL||7|||||#|9||-|30|||</v>
          </cell>
          <cell r="J1283">
            <v>120523</v>
          </cell>
          <cell r="L1283" t="str">
            <v>9.292043</v>
          </cell>
          <cell r="M1283" t="str">
            <v>-73.51766</v>
          </cell>
        </row>
        <row r="1284">
          <cell r="C1284">
            <v>45369</v>
          </cell>
          <cell r="D1284" t="str">
            <v>PDV PRIMAVERA</v>
          </cell>
          <cell r="E1284" t="str">
            <v>S</v>
          </cell>
          <cell r="F1284" t="str">
            <v>20011</v>
          </cell>
          <cell r="H1284" t="str">
            <v>CR||17|||||#|0||-|98|||</v>
          </cell>
          <cell r="J1284">
            <v>120523</v>
          </cell>
          <cell r="L1284" t="str">
            <v>8.31231643</v>
          </cell>
          <cell r="M1284" t="str">
            <v>-73.61726865</v>
          </cell>
        </row>
        <row r="1285">
          <cell r="C1285">
            <v>17157</v>
          </cell>
          <cell r="D1285" t="str">
            <v>CM MI FUTURA SABANA</v>
          </cell>
          <cell r="E1285" t="str">
            <v>S</v>
          </cell>
          <cell r="F1285" t="str">
            <v>20001</v>
          </cell>
          <cell r="G1285" t="str">
            <v xml:space="preserve">CM </v>
          </cell>
          <cell r="H1285" t="str">
            <v>CL||16|||||#|22||-|183|||</v>
          </cell>
          <cell r="J1285">
            <v>120523</v>
          </cell>
          <cell r="L1285" t="str">
            <v>10.4544697</v>
          </cell>
          <cell r="M1285" t="str">
            <v>-73.26498603</v>
          </cell>
        </row>
        <row r="1286">
          <cell r="C1286">
            <v>46897</v>
          </cell>
          <cell r="D1286" t="str">
            <v>CM VARIEDADES MAURO</v>
          </cell>
          <cell r="E1286" t="str">
            <v>S</v>
          </cell>
          <cell r="F1286" t="str">
            <v>20001</v>
          </cell>
          <cell r="H1286" t="str">
            <v>CL 26 # 18E-22 BARRIO 1 DE MAYO</v>
          </cell>
          <cell r="J1286">
            <v>0</v>
          </cell>
          <cell r="L1286" t="str">
            <v>10.457390</v>
          </cell>
          <cell r="M1286" t="str">
            <v>-73.250550</v>
          </cell>
        </row>
        <row r="1287">
          <cell r="C1287">
            <v>47082</v>
          </cell>
          <cell r="D1287" t="str">
            <v>AMBULANTE AGUACHICA TIGO</v>
          </cell>
          <cell r="E1287" t="str">
            <v>S</v>
          </cell>
          <cell r="F1287" t="str">
            <v>20011</v>
          </cell>
          <cell r="H1287" t="str">
            <v>CL 5 # 17-39</v>
          </cell>
          <cell r="J1287">
            <v>0</v>
          </cell>
          <cell r="L1287" t="str">
            <v>8.310068</v>
          </cell>
          <cell r="M1287" t="str">
            <v>-73.616822</v>
          </cell>
        </row>
        <row r="1288">
          <cell r="C1288">
            <v>47141</v>
          </cell>
          <cell r="D1288" t="str">
            <v>AMBULANTE MANAURE CLARO</v>
          </cell>
          <cell r="E1288" t="str">
            <v>S</v>
          </cell>
          <cell r="F1288" t="str">
            <v>20443</v>
          </cell>
          <cell r="H1288" t="str">
            <v>CL 3  # 6A-22</v>
          </cell>
          <cell r="J1288">
            <v>0</v>
          </cell>
          <cell r="L1288" t="str">
            <v>10.39131166</v>
          </cell>
          <cell r="M1288" t="str">
            <v>-73.02780333</v>
          </cell>
        </row>
        <row r="1289">
          <cell r="C1289">
            <v>250310</v>
          </cell>
          <cell r="D1289" t="str">
            <v>CM RANDACRIS</v>
          </cell>
          <cell r="E1289" t="str">
            <v>S</v>
          </cell>
          <cell r="F1289" t="str">
            <v>20013</v>
          </cell>
          <cell r="H1289" t="str">
            <v>CL 18 # 10-90 BARRIO MACHIQUES</v>
          </cell>
          <cell r="J1289">
            <v>0</v>
          </cell>
          <cell r="L1289" t="str">
            <v>10.03766</v>
          </cell>
          <cell r="M1289" t="str">
            <v>-73.23010</v>
          </cell>
        </row>
        <row r="1290">
          <cell r="C1290">
            <v>250370</v>
          </cell>
          <cell r="D1290" t="str">
            <v>CM LICORERA SAN MARTIN</v>
          </cell>
          <cell r="E1290" t="str">
            <v>S</v>
          </cell>
          <cell r="F1290" t="str">
            <v>20770</v>
          </cell>
          <cell r="H1290" t="str">
            <v>CR 9 # 19-30 BARRIO LA FERIA</v>
          </cell>
          <cell r="J1290">
            <v>0</v>
          </cell>
          <cell r="L1290" t="str">
            <v>7.99972833</v>
          </cell>
          <cell r="M1290" t="str">
            <v>-73.509066</v>
          </cell>
        </row>
        <row r="1291">
          <cell r="C1291">
            <v>250371</v>
          </cell>
          <cell r="D1291" t="str">
            <v>CM TIENDA DON MIGUEL</v>
          </cell>
          <cell r="E1291" t="str">
            <v>S</v>
          </cell>
          <cell r="F1291" t="str">
            <v>20001</v>
          </cell>
          <cell r="H1291" t="str">
            <v>SECTOR 1 MZ 14-22 CASA 22A URB DON MIGUEL</v>
          </cell>
          <cell r="J1291">
            <v>0</v>
          </cell>
          <cell r="L1291" t="str">
            <v>10.48429666</v>
          </cell>
          <cell r="M1291" t="str">
            <v>-73.28672499</v>
          </cell>
        </row>
        <row r="1292">
          <cell r="C1292">
            <v>8484</v>
          </cell>
          <cell r="D1292" t="str">
            <v xml:space="preserve">PDV SAN ROQUE </v>
          </cell>
          <cell r="E1292" t="str">
            <v>S</v>
          </cell>
          <cell r="F1292" t="str">
            <v>20228</v>
          </cell>
          <cell r="G1292" t="str">
            <v xml:space="preserve">PDV </v>
          </cell>
          <cell r="H1292" t="str">
            <v>CL||6|||||#|4||-|1|||</v>
          </cell>
          <cell r="J1292">
            <v>120523</v>
          </cell>
          <cell r="L1292" t="str">
            <v>9.290207</v>
          </cell>
          <cell r="M1292" t="str">
            <v>-73.511417</v>
          </cell>
        </row>
        <row r="1293">
          <cell r="C1293">
            <v>45326</v>
          </cell>
          <cell r="D1293" t="str">
            <v>PDV EL PROGRESO</v>
          </cell>
          <cell r="E1293" t="str">
            <v>S</v>
          </cell>
          <cell r="F1293" t="str">
            <v>20710</v>
          </cell>
          <cell r="H1293" t="str">
            <v>CL||1|C||||#|1|B|-|51|||</v>
          </cell>
          <cell r="J1293">
            <v>120523</v>
          </cell>
          <cell r="L1293" t="str">
            <v>7.76419</v>
          </cell>
          <cell r="M1293" t="str">
            <v>-73.391</v>
          </cell>
        </row>
        <row r="1294">
          <cell r="C1294">
            <v>16807</v>
          </cell>
          <cell r="D1294" t="str">
            <v>PDV DROGUERIA EL PRADO</v>
          </cell>
          <cell r="E1294" t="str">
            <v>S</v>
          </cell>
          <cell r="F1294" t="str">
            <v>20001</v>
          </cell>
          <cell r="G1294" t="str">
            <v xml:space="preserve">PDV </v>
          </cell>
          <cell r="H1294" t="str">
            <v>CL||16|||||#|19|C|-|35|||</v>
          </cell>
          <cell r="J1294">
            <v>120523</v>
          </cell>
          <cell r="L1294" t="str">
            <v>10.4480277</v>
          </cell>
          <cell r="M1294" t="str">
            <v>-73.256433</v>
          </cell>
        </row>
        <row r="1295">
          <cell r="C1295">
            <v>17612</v>
          </cell>
          <cell r="D1295" t="str">
            <v>CM LOS CALABAZOS</v>
          </cell>
          <cell r="E1295" t="str">
            <v>S</v>
          </cell>
          <cell r="F1295" t="str">
            <v>20001</v>
          </cell>
          <cell r="G1295" t="str">
            <v xml:space="preserve">CM </v>
          </cell>
          <cell r="H1295" t="str">
            <v>CL||5|||||#|4||-|32|||</v>
          </cell>
          <cell r="J1295">
            <v>120523</v>
          </cell>
          <cell r="L1295" t="str">
            <v>10.245484</v>
          </cell>
          <cell r="M1295" t="str">
            <v>-73.282166</v>
          </cell>
        </row>
        <row r="1296">
          <cell r="C1296">
            <v>47102</v>
          </cell>
          <cell r="D1296" t="str">
            <v>AMBULANTE LA PAZ CLARO</v>
          </cell>
          <cell r="E1296" t="str">
            <v>S</v>
          </cell>
          <cell r="F1296" t="str">
            <v>20621</v>
          </cell>
          <cell r="J1296">
            <v>0</v>
          </cell>
          <cell r="L1296" t="str">
            <v>10.386577</v>
          </cell>
          <cell r="M1296" t="str">
            <v>-73.170702</v>
          </cell>
        </row>
        <row r="1297">
          <cell r="C1297">
            <v>47198</v>
          </cell>
          <cell r="D1297" t="str">
            <v>CM OJITO</v>
          </cell>
          <cell r="E1297" t="str">
            <v>S</v>
          </cell>
          <cell r="F1297" t="str">
            <v>20001</v>
          </cell>
          <cell r="H1297" t="str">
            <v>CR 7A # 22-27 BARRIO 5 DE NOVIEMBRE</v>
          </cell>
          <cell r="J1297">
            <v>0</v>
          </cell>
          <cell r="L1297" t="str">
            <v>10.46336</v>
          </cell>
          <cell r="M1297" t="str">
            <v>-73.24323</v>
          </cell>
        </row>
        <row r="1298">
          <cell r="C1298">
            <v>47934</v>
          </cell>
          <cell r="D1298" t="str">
            <v>CM LA 10</v>
          </cell>
          <cell r="E1298" t="str">
            <v>S</v>
          </cell>
          <cell r="F1298" t="str">
            <v>20175</v>
          </cell>
          <cell r="H1298" t="str">
            <v>CL 10 # 8-70 BARRIO SAN MARTIN</v>
          </cell>
          <cell r="J1298">
            <v>0</v>
          </cell>
          <cell r="L1298" t="str">
            <v>9.2591</v>
          </cell>
          <cell r="M1298" t="str">
            <v>-73.8143</v>
          </cell>
        </row>
        <row r="1299">
          <cell r="C1299">
            <v>44468</v>
          </cell>
          <cell r="D1299" t="str">
            <v xml:space="preserve">CM BUBALU </v>
          </cell>
          <cell r="E1299" t="str">
            <v>S</v>
          </cell>
          <cell r="F1299" t="str">
            <v>20787</v>
          </cell>
          <cell r="H1299" t="str">
            <v>CL||1|||||#|1||-|29|||</v>
          </cell>
          <cell r="J1299">
            <v>120523</v>
          </cell>
          <cell r="L1299" t="str">
            <v>8.86131553</v>
          </cell>
          <cell r="M1299" t="str">
            <v>-73.83516993</v>
          </cell>
        </row>
        <row r="1300">
          <cell r="C1300">
            <v>45096</v>
          </cell>
          <cell r="D1300" t="str">
            <v xml:space="preserve">PDV TERMINAL </v>
          </cell>
          <cell r="E1300" t="str">
            <v>S</v>
          </cell>
          <cell r="F1300" t="str">
            <v>20013</v>
          </cell>
          <cell r="H1300" t="str">
            <v>CR||16|||||#|25||-|99|||</v>
          </cell>
          <cell r="J1300">
            <v>120523</v>
          </cell>
          <cell r="L1300" t="str">
            <v>10.04174</v>
          </cell>
          <cell r="M1300" t="str">
            <v>-73.23822</v>
          </cell>
        </row>
        <row r="1301">
          <cell r="C1301">
            <v>45375</v>
          </cell>
          <cell r="D1301" t="str">
            <v>CM ASESORIAS SERVICIOSPUBLICOS</v>
          </cell>
          <cell r="E1301" t="str">
            <v>S</v>
          </cell>
          <cell r="F1301" t="str">
            <v>20001</v>
          </cell>
          <cell r="H1301" t="str">
            <v>CR||8|||||#|14||-|6|||</v>
          </cell>
          <cell r="J1301">
            <v>120523</v>
          </cell>
          <cell r="L1301" t="str">
            <v>10.4774</v>
          </cell>
          <cell r="M1301" t="str">
            <v>-73.2478</v>
          </cell>
        </row>
        <row r="1302">
          <cell r="C1302">
            <v>46280</v>
          </cell>
          <cell r="D1302" t="str">
            <v>CM TUROJUAN</v>
          </cell>
          <cell r="E1302" t="str">
            <v>S</v>
          </cell>
          <cell r="F1302" t="str">
            <v>20001</v>
          </cell>
          <cell r="H1302" t="str">
            <v>CR||10|||||#|13|B|-|32|||</v>
          </cell>
          <cell r="J1302">
            <v>260523</v>
          </cell>
          <cell r="L1302" t="str">
            <v>10.477712</v>
          </cell>
          <cell r="M1302" t="str">
            <v>-73.250149</v>
          </cell>
        </row>
        <row r="1303">
          <cell r="C1303">
            <v>46333</v>
          </cell>
          <cell r="D1303" t="str">
            <v>CM OBREGON</v>
          </cell>
          <cell r="E1303" t="str">
            <v>S</v>
          </cell>
          <cell r="F1303" t="str">
            <v>20045</v>
          </cell>
          <cell r="H1303" t="str">
            <v>CL||2|||||#|30||-|19|||</v>
          </cell>
          <cell r="J1303">
            <v>260523</v>
          </cell>
          <cell r="L1303" t="str">
            <v>9.70962</v>
          </cell>
          <cell r="M1303" t="str">
            <v>-73.28143</v>
          </cell>
        </row>
        <row r="1304">
          <cell r="C1304">
            <v>47045</v>
          </cell>
          <cell r="D1304" t="str">
            <v>AMBULANTE CHIMICHAGUA</v>
          </cell>
          <cell r="E1304" t="str">
            <v>S</v>
          </cell>
          <cell r="F1304" t="str">
            <v>20175</v>
          </cell>
          <cell r="H1304" t="str">
            <v>CL||5|||||#|4||-|2|||</v>
          </cell>
          <cell r="J1304">
            <v>0</v>
          </cell>
          <cell r="L1304" t="str">
            <v>9.256237</v>
          </cell>
          <cell r="M1304" t="str">
            <v>-73.816344</v>
          </cell>
        </row>
        <row r="1305">
          <cell r="C1305">
            <v>250018</v>
          </cell>
          <cell r="D1305" t="str">
            <v>CM LA VAQUERA 2</v>
          </cell>
          <cell r="E1305" t="str">
            <v>S</v>
          </cell>
          <cell r="F1305" t="str">
            <v>20228</v>
          </cell>
          <cell r="H1305" t="str">
            <v>CR 16 # 2SUR 48 CASA 1 BARRIO BUENOS AIRES</v>
          </cell>
          <cell r="J1305">
            <v>0</v>
          </cell>
          <cell r="L1305" t="str">
            <v>9.192903</v>
          </cell>
          <cell r="M1305" t="str">
            <v>-73.545590</v>
          </cell>
        </row>
        <row r="1306">
          <cell r="C1306">
            <v>43942</v>
          </cell>
          <cell r="D1306" t="str">
            <v xml:space="preserve">CM YADIRA </v>
          </cell>
          <cell r="E1306" t="str">
            <v>S</v>
          </cell>
          <cell r="F1306" t="str">
            <v>20045</v>
          </cell>
          <cell r="H1306" t="str">
            <v>CL||11|||||#|2||-|12|||</v>
          </cell>
          <cell r="J1306">
            <v>120523</v>
          </cell>
          <cell r="L1306" t="str">
            <v>9.702348</v>
          </cell>
          <cell r="M1306" t="str">
            <v>-73.282808</v>
          </cell>
        </row>
        <row r="1307">
          <cell r="C1307">
            <v>44448</v>
          </cell>
          <cell r="D1307" t="str">
            <v xml:space="preserve">CM SAN ANTONIO </v>
          </cell>
          <cell r="E1307" t="str">
            <v>S</v>
          </cell>
          <cell r="F1307" t="str">
            <v>20001</v>
          </cell>
          <cell r="H1307" t="str">
            <v>CL||21|||||#|4|F|-|6|||</v>
          </cell>
          <cell r="J1307">
            <v>120523</v>
          </cell>
          <cell r="L1307" t="str">
            <v>10.465</v>
          </cell>
          <cell r="M1307" t="str">
            <v>-73.2362</v>
          </cell>
        </row>
        <row r="1308">
          <cell r="C1308">
            <v>47031</v>
          </cell>
          <cell r="D1308" t="str">
            <v>AMBULANTE AGUSTIN CODAZZI</v>
          </cell>
          <cell r="E1308" t="str">
            <v>S</v>
          </cell>
          <cell r="F1308" t="str">
            <v>20013</v>
          </cell>
          <cell r="H1308" t="str">
            <v>CL||17|||||#|15||-|111|||</v>
          </cell>
          <cell r="J1308">
            <v>0</v>
          </cell>
          <cell r="L1308" t="str">
            <v>10.03699</v>
          </cell>
          <cell r="M1308" t="str">
            <v>-73.23657</v>
          </cell>
        </row>
        <row r="1309">
          <cell r="C1309">
            <v>47093</v>
          </cell>
          <cell r="D1309" t="str">
            <v>AMBULANTE SAN ALBERTO CLARO</v>
          </cell>
          <cell r="E1309" t="str">
            <v>S</v>
          </cell>
          <cell r="F1309" t="str">
            <v>20710</v>
          </cell>
          <cell r="H1309" t="str">
            <v>CR 3 # 4-23</v>
          </cell>
          <cell r="J1309">
            <v>0</v>
          </cell>
          <cell r="L1309" t="str">
            <v>7.76126</v>
          </cell>
          <cell r="M1309" t="str">
            <v>-73.39128</v>
          </cell>
        </row>
        <row r="1310">
          <cell r="C1310">
            <v>47132</v>
          </cell>
          <cell r="D1310" t="str">
            <v>AMBULANTE PUEBLO BELLO CLARO</v>
          </cell>
          <cell r="E1310" t="str">
            <v>S</v>
          </cell>
          <cell r="F1310" t="str">
            <v>20570</v>
          </cell>
          <cell r="H1310" t="str">
            <v>CL 9 # 4-169</v>
          </cell>
          <cell r="J1310">
            <v>0</v>
          </cell>
          <cell r="L1310" t="str">
            <v>10.412562</v>
          </cell>
          <cell r="M1310" t="str">
            <v>-73.590992</v>
          </cell>
        </row>
        <row r="1311">
          <cell r="C1311">
            <v>47137</v>
          </cell>
          <cell r="D1311" t="str">
            <v>AMBULANTE TAMALAMEQUE MOVISTAR</v>
          </cell>
          <cell r="E1311" t="str">
            <v>S</v>
          </cell>
          <cell r="F1311" t="str">
            <v>20787</v>
          </cell>
          <cell r="H1311" t="str">
            <v>CL 5 # 5-93</v>
          </cell>
          <cell r="J1311">
            <v>0</v>
          </cell>
          <cell r="L1311" t="str">
            <v>8.859786</v>
          </cell>
          <cell r="M1311" t="str">
            <v>-73.81008</v>
          </cell>
        </row>
        <row r="1312">
          <cell r="C1312">
            <v>47181</v>
          </cell>
          <cell r="D1312" t="str">
            <v>CM LA CEQUIA</v>
          </cell>
          <cell r="E1312" t="str">
            <v>S</v>
          </cell>
          <cell r="F1312" t="str">
            <v>20045</v>
          </cell>
          <cell r="H1312" t="str">
            <v>CR 12 # 6A-78 BARRIO 6 DE ENERO</v>
          </cell>
          <cell r="J1312">
            <v>0</v>
          </cell>
          <cell r="L1312" t="str">
            <v>9.70298</v>
          </cell>
          <cell r="M1312" t="str">
            <v>-73.27382</v>
          </cell>
        </row>
        <row r="1313">
          <cell r="C1313">
            <v>47642</v>
          </cell>
          <cell r="D1313" t="str">
            <v>TAMALAMEQUE COLOMBIA MAYOR</v>
          </cell>
          <cell r="E1313" t="str">
            <v>S</v>
          </cell>
          <cell r="F1313" t="str">
            <v>20787</v>
          </cell>
          <cell r="H1313" t="str">
            <v>MOVIL</v>
          </cell>
          <cell r="J1313">
            <v>0</v>
          </cell>
        </row>
        <row r="1314">
          <cell r="C1314">
            <v>47652</v>
          </cell>
          <cell r="D1314" t="str">
            <v>GAMARRA COLOMBIA MAYOR</v>
          </cell>
          <cell r="E1314" t="str">
            <v>S</v>
          </cell>
          <cell r="F1314" t="str">
            <v>20295</v>
          </cell>
          <cell r="H1314" t="str">
            <v>MOVIL</v>
          </cell>
          <cell r="J1314">
            <v>0</v>
          </cell>
        </row>
        <row r="1315">
          <cell r="C1315">
            <v>300434</v>
          </cell>
          <cell r="D1315" t="str">
            <v>CM DEIAM</v>
          </cell>
          <cell r="E1315" t="str">
            <v>S</v>
          </cell>
          <cell r="F1315" t="str">
            <v>20710</v>
          </cell>
          <cell r="H1315" t="str">
            <v>CL 2B # 16-55 BARRIO LA INMACULADA</v>
          </cell>
          <cell r="J1315">
            <v>0</v>
          </cell>
          <cell r="L1315" t="str">
            <v>7.75341022</v>
          </cell>
          <cell r="M1315" t="str">
            <v>-73.3985845</v>
          </cell>
        </row>
        <row r="1316">
          <cell r="C1316">
            <v>300458</v>
          </cell>
          <cell r="D1316" t="str">
            <v>CM PALMIRA</v>
          </cell>
          <cell r="E1316" t="str">
            <v>S</v>
          </cell>
          <cell r="F1316" t="str">
            <v>20032</v>
          </cell>
          <cell r="H1316" t="str">
            <v>CL 15 CR 2-29 BARRIO PALMIRA</v>
          </cell>
          <cell r="J1316">
            <v>0</v>
          </cell>
          <cell r="L1316" t="str">
            <v>9.495337</v>
          </cell>
          <cell r="M1316" t="str">
            <v>-73.972120</v>
          </cell>
        </row>
        <row r="1317">
          <cell r="C1317">
            <v>300830</v>
          </cell>
          <cell r="D1317" t="str">
            <v>CM PAYARES</v>
          </cell>
          <cell r="E1317" t="str">
            <v>S</v>
          </cell>
          <cell r="F1317" t="str">
            <v>20011</v>
          </cell>
          <cell r="H1317" t="str">
            <v>CR 33 # 6-72 BARRIO ALTO PRADO</v>
          </cell>
          <cell r="J1317">
            <v>0</v>
          </cell>
          <cell r="L1317" t="str">
            <v>8.30799865</v>
          </cell>
          <cell r="M1317" t="str">
            <v>-73.60335518</v>
          </cell>
        </row>
        <row r="1318">
          <cell r="C1318">
            <v>9208</v>
          </cell>
          <cell r="D1318" t="str">
            <v>CDA VALLEDUPAR FAMISANAR</v>
          </cell>
          <cell r="E1318" t="str">
            <v>S</v>
          </cell>
          <cell r="F1318" t="str">
            <v>20001</v>
          </cell>
          <cell r="G1318" t="str">
            <v xml:space="preserve">CDA </v>
          </cell>
          <cell r="H1318" t="str">
            <v>CL||17|||||#|13||-|89|||</v>
          </cell>
          <cell r="J1318">
            <v>120523</v>
          </cell>
          <cell r="L1318" t="str">
            <v>10.4708</v>
          </cell>
          <cell r="M1318" t="str">
            <v>-73.2491</v>
          </cell>
        </row>
        <row r="1319">
          <cell r="C1319">
            <v>302586</v>
          </cell>
          <cell r="D1319" t="str">
            <v>CM PUEBLITO</v>
          </cell>
          <cell r="E1319" t="str">
            <v>S</v>
          </cell>
          <cell r="F1319" t="str">
            <v>20175</v>
          </cell>
          <cell r="H1319" t="str">
            <v>CL 26 CR 12-21 BARRIO VILLA AVELINA</v>
          </cell>
          <cell r="J1319">
            <v>0</v>
          </cell>
          <cell r="L1319" t="str">
            <v>9.2657</v>
          </cell>
          <cell r="M1319" t="str">
            <v>-73.8088</v>
          </cell>
        </row>
        <row r="1320">
          <cell r="C1320">
            <v>300100</v>
          </cell>
          <cell r="D1320" t="str">
            <v>CM SOPA DE LETRA</v>
          </cell>
          <cell r="E1320" t="str">
            <v>S</v>
          </cell>
          <cell r="F1320" t="str">
            <v>20032</v>
          </cell>
          <cell r="H1320" t="str">
            <v>CL 4 CR 5-7 LOC 1 BARRIO 7 DE DICIEMBRE</v>
          </cell>
          <cell r="J1320">
            <v>0</v>
          </cell>
          <cell r="L1320" t="str">
            <v>9.536610</v>
          </cell>
          <cell r="M1320" t="str">
            <v>-73.911588</v>
          </cell>
        </row>
        <row r="1321">
          <cell r="C1321">
            <v>300582</v>
          </cell>
          <cell r="D1321" t="str">
            <v>PDV SAN MARTIN</v>
          </cell>
          <cell r="E1321" t="str">
            <v>S</v>
          </cell>
          <cell r="F1321" t="str">
            <v>20770</v>
          </cell>
          <cell r="H1321" t="str">
            <v>CR 7 # 13-38 BARRIO EL SOCORRO</v>
          </cell>
          <cell r="J1321">
            <v>0</v>
          </cell>
          <cell r="L1321" t="str">
            <v>8.002880</v>
          </cell>
          <cell r="M1321" t="str">
            <v>-73.513435</v>
          </cell>
        </row>
        <row r="1322">
          <cell r="C1322">
            <v>301453</v>
          </cell>
          <cell r="D1322" t="str">
            <v>CM TIENDA LA 7</v>
          </cell>
          <cell r="E1322" t="str">
            <v>S</v>
          </cell>
          <cell r="F1322" t="str">
            <v>20228</v>
          </cell>
          <cell r="H1322" t="str">
            <v>CR 7 CL 7-135 BRR SAN ISIDRO</v>
          </cell>
          <cell r="J1322">
            <v>0</v>
          </cell>
          <cell r="L1322" t="str">
            <v>9.197503</v>
          </cell>
          <cell r="M1322" t="str">
            <v>-73.536028</v>
          </cell>
        </row>
        <row r="1323">
          <cell r="C1323">
            <v>300912</v>
          </cell>
          <cell r="D1323" t="str">
            <v>CM DROGUERIA FE Y AMOR</v>
          </cell>
          <cell r="E1323" t="str">
            <v>S</v>
          </cell>
          <cell r="F1323" t="str">
            <v>20787</v>
          </cell>
          <cell r="H1323" t="str">
            <v xml:space="preserve">KR 5 8-125 </v>
          </cell>
          <cell r="J1323">
            <v>0</v>
          </cell>
          <cell r="L1323" t="str">
            <v>8.85791</v>
          </cell>
          <cell r="M1323" t="str">
            <v>-73.812676</v>
          </cell>
        </row>
        <row r="1324">
          <cell r="C1324">
            <v>300932</v>
          </cell>
          <cell r="D1324" t="str">
            <v>CM HIJO DE DIOS</v>
          </cell>
          <cell r="E1324" t="str">
            <v>S</v>
          </cell>
          <cell r="F1324" t="str">
            <v>20001</v>
          </cell>
          <cell r="H1324" t="str">
            <v>MZ F CASA 52 BARRIO TOBIAS DAZA</v>
          </cell>
          <cell r="J1324">
            <v>0</v>
          </cell>
          <cell r="L1324" t="str">
            <v>10.45364</v>
          </cell>
          <cell r="M1324" t="str">
            <v>-73.28050</v>
          </cell>
        </row>
        <row r="1325">
          <cell r="C1325">
            <v>300931</v>
          </cell>
          <cell r="D1325" t="str">
            <v>CM ROYER</v>
          </cell>
          <cell r="E1325" t="str">
            <v>S</v>
          </cell>
          <cell r="F1325" t="str">
            <v>20001</v>
          </cell>
          <cell r="H1325" t="str">
            <v>CR 20 # 22C BARRIO 1RO DE MAYO</v>
          </cell>
          <cell r="J1325">
            <v>0</v>
          </cell>
          <cell r="L1325" t="str">
            <v>10.45850818</v>
          </cell>
          <cell r="M1325" t="str">
            <v>-73.25307292</v>
          </cell>
        </row>
        <row r="1326">
          <cell r="C1326">
            <v>302507</v>
          </cell>
          <cell r="D1326" t="str">
            <v>CM LUZ ELENA CH</v>
          </cell>
          <cell r="E1326" t="str">
            <v>S</v>
          </cell>
          <cell r="F1326" t="str">
            <v>20178</v>
          </cell>
          <cell r="H1326" t="str">
            <v>CL 7 # 15-66 BARRIO LAS DELICIAS</v>
          </cell>
          <cell r="J1326">
            <v>0</v>
          </cell>
          <cell r="L1326" t="str">
            <v>9.36127551</v>
          </cell>
          <cell r="M1326" t="str">
            <v>-73.58755317</v>
          </cell>
        </row>
        <row r="1327">
          <cell r="C1327">
            <v>300781</v>
          </cell>
          <cell r="D1327" t="str">
            <v>CM VARIEDADES QUILLA</v>
          </cell>
          <cell r="E1327" t="str">
            <v>S</v>
          </cell>
          <cell r="F1327" t="str">
            <v>20060</v>
          </cell>
          <cell r="H1327" t="str">
            <v>CL 31 #18A-22 BARRIO 20 DE MAYO</v>
          </cell>
          <cell r="J1327">
            <v>0</v>
          </cell>
          <cell r="L1327" t="str">
            <v>9.981028</v>
          </cell>
          <cell r="M1327" t="str">
            <v>-73.892769</v>
          </cell>
        </row>
        <row r="1328">
          <cell r="C1328">
            <v>301413</v>
          </cell>
          <cell r="D1328" t="str">
            <v xml:space="preserve">CM EL OBRERO </v>
          </cell>
          <cell r="E1328" t="str">
            <v>S</v>
          </cell>
          <cell r="F1328" t="str">
            <v>20013</v>
          </cell>
          <cell r="H1328" t="str">
            <v>CL 12 #10-25 BRR EL OBRERO</v>
          </cell>
          <cell r="J1328">
            <v>0</v>
          </cell>
          <cell r="L1328" t="str">
            <v>10.033268</v>
          </cell>
          <cell r="M1328" t="str">
            <v>-73.229396</v>
          </cell>
        </row>
        <row r="1329">
          <cell r="C1329">
            <v>300273</v>
          </cell>
          <cell r="D1329" t="str">
            <v>CM LA VICTORIA PELAYA</v>
          </cell>
          <cell r="E1329" t="str">
            <v>S</v>
          </cell>
          <cell r="F1329" t="str">
            <v>20011</v>
          </cell>
          <cell r="H1329" t="str">
            <v>CL 5  # 9-67 BARRIO NUEVO</v>
          </cell>
          <cell r="J1329">
            <v>0</v>
          </cell>
          <cell r="L1329" t="str">
            <v>8.6836</v>
          </cell>
          <cell r="M1329" t="str">
            <v>-73.6630</v>
          </cell>
        </row>
        <row r="1330">
          <cell r="C1330">
            <v>302320</v>
          </cell>
          <cell r="D1330" t="str">
            <v>CM EL CRUCE</v>
          </cell>
          <cell r="E1330" t="str">
            <v>S</v>
          </cell>
          <cell r="F1330" t="str">
            <v>20011</v>
          </cell>
          <cell r="H1330" t="str">
            <v>CR 40 5N-27 BARRIO EL CRUCE</v>
          </cell>
          <cell r="J1330">
            <v>0</v>
          </cell>
          <cell r="L1330" t="str">
            <v>8.31751937</v>
          </cell>
          <cell r="M1330" t="str">
            <v>-73.59658137</v>
          </cell>
        </row>
        <row r="1331">
          <cell r="C1331">
            <v>301233</v>
          </cell>
          <cell r="D1331" t="str">
            <v>CM CAMILA</v>
          </cell>
          <cell r="E1331" t="str">
            <v>S</v>
          </cell>
          <cell r="F1331" t="str">
            <v>20178</v>
          </cell>
          <cell r="H1331" t="str">
            <v xml:space="preserve">CL 1 BIS-18 BRR SAN TROPEL </v>
          </cell>
          <cell r="J1331">
            <v>0</v>
          </cell>
          <cell r="L1331" t="str">
            <v>9.359842529</v>
          </cell>
          <cell r="M1331" t="str">
            <v>-73.6079514</v>
          </cell>
        </row>
        <row r="1332">
          <cell r="C1332">
            <v>302323</v>
          </cell>
          <cell r="D1332" t="str">
            <v>CM SHAYRA</v>
          </cell>
          <cell r="E1332" t="str">
            <v>S</v>
          </cell>
          <cell r="F1332" t="str">
            <v>20060</v>
          </cell>
          <cell r="H1332" t="str">
            <v>CR 25 # 22-2 BARRIO URIBE VELEZ</v>
          </cell>
          <cell r="J1332">
            <v>0</v>
          </cell>
          <cell r="L1332" t="str">
            <v>9.9722</v>
          </cell>
          <cell r="M1332" t="str">
            <v>-73.8954</v>
          </cell>
        </row>
        <row r="1333">
          <cell r="C1333">
            <v>300106</v>
          </cell>
          <cell r="D1333" t="str">
            <v>CM DROGUERIA LOS ALMENDROS</v>
          </cell>
          <cell r="E1333" t="str">
            <v>S</v>
          </cell>
          <cell r="F1333" t="str">
            <v>20060</v>
          </cell>
          <cell r="H1333" t="str">
            <v>CR 17 # 21-13 APTO 3 BARRIO LOS ALMENDROS</v>
          </cell>
          <cell r="J1333">
            <v>0</v>
          </cell>
          <cell r="L1333" t="str">
            <v>9.976583</v>
          </cell>
          <cell r="M1333" t="str">
            <v>-73.886627</v>
          </cell>
        </row>
        <row r="1334">
          <cell r="C1334">
            <v>300122</v>
          </cell>
          <cell r="D1334" t="str">
            <v>CM TIENDA DAYANA</v>
          </cell>
          <cell r="E1334" t="str">
            <v>S</v>
          </cell>
          <cell r="F1334" t="str">
            <v>20013</v>
          </cell>
          <cell r="H1334" t="str">
            <v>CL 4B # 15-68 BARRIO 5 DE DICIEMBRE</v>
          </cell>
          <cell r="J1334">
            <v>0</v>
          </cell>
          <cell r="L1334" t="str">
            <v>10.023551</v>
          </cell>
          <cell r="M1334" t="str">
            <v>-73.238213</v>
          </cell>
        </row>
        <row r="1335">
          <cell r="C1335">
            <v>300167</v>
          </cell>
          <cell r="D1335" t="str">
            <v>CM PAPELERIA AXEL</v>
          </cell>
          <cell r="E1335" t="str">
            <v>S</v>
          </cell>
          <cell r="F1335" t="str">
            <v>20228</v>
          </cell>
          <cell r="H1335" t="str">
            <v>SECTOR 1 MZ C-17 URB HENRY CHACON</v>
          </cell>
          <cell r="J1335">
            <v>0</v>
          </cell>
          <cell r="L1335" t="str">
            <v>9.204015</v>
          </cell>
          <cell r="M1335" t="str">
            <v>-73.550277</v>
          </cell>
        </row>
        <row r="1336">
          <cell r="C1336">
            <v>300170</v>
          </cell>
          <cell r="D1336" t="str">
            <v>CM LA CASITA VERDE</v>
          </cell>
          <cell r="E1336" t="str">
            <v>S</v>
          </cell>
          <cell r="F1336" t="str">
            <v>20250</v>
          </cell>
          <cell r="H1336" t="str">
            <v>CL 3 # 8A-4 BARRIO LAS DAMAS</v>
          </cell>
          <cell r="J1336">
            <v>0</v>
          </cell>
          <cell r="L1336" t="str">
            <v>9.66327584</v>
          </cell>
          <cell r="M1336" t="str">
            <v>-73.7442277</v>
          </cell>
        </row>
        <row r="1337">
          <cell r="C1337">
            <v>300173</v>
          </cell>
          <cell r="D1337" t="str">
            <v>CM ROSITA</v>
          </cell>
          <cell r="E1337" t="str">
            <v>S</v>
          </cell>
          <cell r="F1337" t="str">
            <v>20011</v>
          </cell>
          <cell r="H1337" t="str">
            <v>CL 1N # 38-04 BARRIO MARIA EUGENIA</v>
          </cell>
          <cell r="J1337">
            <v>0</v>
          </cell>
          <cell r="L1337" t="str">
            <v>8.3148266</v>
          </cell>
          <cell r="M1337" t="str">
            <v>-73.59944751</v>
          </cell>
        </row>
        <row r="1338">
          <cell r="C1338">
            <v>301064</v>
          </cell>
          <cell r="D1338" t="str">
            <v>CM PAPELERIA LEÓN</v>
          </cell>
          <cell r="E1338" t="str">
            <v>S</v>
          </cell>
          <cell r="F1338" t="str">
            <v>20443</v>
          </cell>
          <cell r="H1338" t="str">
            <v>CL 2C #16-5 BARRIO NUEVO MILENIO</v>
          </cell>
          <cell r="J1338">
            <v>0</v>
          </cell>
          <cell r="L1338" t="str">
            <v>10.3857</v>
          </cell>
          <cell r="M1338" t="str">
            <v>-73.0367</v>
          </cell>
        </row>
        <row r="1339">
          <cell r="C1339">
            <v>301196</v>
          </cell>
          <cell r="D1339" t="str">
            <v xml:space="preserve">CM PAPELERIA VICMAY </v>
          </cell>
          <cell r="E1339" t="str">
            <v>S</v>
          </cell>
          <cell r="F1339" t="str">
            <v>20400</v>
          </cell>
          <cell r="H1339" t="str">
            <v>CL 3 CR 3-81 BRR SANTANDER</v>
          </cell>
          <cell r="J1339">
            <v>0</v>
          </cell>
          <cell r="L1339" t="str">
            <v>9.55777</v>
          </cell>
          <cell r="M1339" t="str">
            <v>-73.33415</v>
          </cell>
        </row>
        <row r="1340">
          <cell r="C1340">
            <v>302544</v>
          </cell>
          <cell r="D1340" t="str">
            <v>CM VARIEDADES GSM</v>
          </cell>
          <cell r="E1340" t="str">
            <v>S</v>
          </cell>
          <cell r="F1340" t="str">
            <v>20001</v>
          </cell>
          <cell r="H1340" t="str">
            <v>MZ E CASA 30 URB CASA CARMELO 2</v>
          </cell>
          <cell r="J1340">
            <v>0</v>
          </cell>
          <cell r="L1340" t="str">
            <v>10.43628</v>
          </cell>
          <cell r="M1340" t="str">
            <v>-73.25926</v>
          </cell>
        </row>
        <row r="1341">
          <cell r="C1341">
            <v>301235</v>
          </cell>
          <cell r="D1341" t="str">
            <v>CM VILLA TAXI</v>
          </cell>
          <cell r="E1341" t="str">
            <v>S</v>
          </cell>
          <cell r="F1341" t="str">
            <v>20001</v>
          </cell>
          <cell r="H1341" t="str">
            <v>SECT 1 MZ 0 CS 20 BRR VILLA TAXI</v>
          </cell>
          <cell r="J1341">
            <v>0</v>
          </cell>
          <cell r="L1341" t="str">
            <v>10.4524484</v>
          </cell>
          <cell r="M1341" t="str">
            <v>-73.2770889</v>
          </cell>
        </row>
        <row r="1342">
          <cell r="C1342">
            <v>302301</v>
          </cell>
          <cell r="D1342" t="str">
            <v>CM ELIZABETH</v>
          </cell>
          <cell r="E1342" t="str">
            <v>S</v>
          </cell>
          <cell r="F1342" t="str">
            <v>20060</v>
          </cell>
          <cell r="H1342" t="str">
            <v>CR 21A CL 32-34 BARRIO SAN JORGE</v>
          </cell>
          <cell r="J1342">
            <v>0</v>
          </cell>
          <cell r="L1342" t="str">
            <v>9.9795</v>
          </cell>
          <cell r="M1342" t="str">
            <v>-73.8965</v>
          </cell>
        </row>
        <row r="1343">
          <cell r="C1343">
            <v>300208</v>
          </cell>
          <cell r="D1343" t="str">
            <v>CM SAN ROQUE</v>
          </cell>
          <cell r="E1343" t="str">
            <v>S</v>
          </cell>
          <cell r="F1343" t="str">
            <v>20011</v>
          </cell>
          <cell r="H1343" t="str">
            <v>CR 9 # 9-54 BARRIO CAMPO SERRANO</v>
          </cell>
          <cell r="J1343">
            <v>0</v>
          </cell>
          <cell r="L1343" t="str">
            <v>8.303658</v>
          </cell>
          <cell r="M1343" t="str">
            <v>-73.625851</v>
          </cell>
        </row>
        <row r="1344">
          <cell r="C1344">
            <v>301243</v>
          </cell>
          <cell r="D1344" t="str">
            <v>CM TIENDA MONTERREY</v>
          </cell>
          <cell r="E1344" t="str">
            <v>S</v>
          </cell>
          <cell r="F1344" t="str">
            <v>20250</v>
          </cell>
          <cell r="H1344" t="str">
            <v>KR 21 CL 14-47  BRR PRIMERO LA GENTE</v>
          </cell>
          <cell r="J1344">
            <v>0</v>
          </cell>
          <cell r="L1344" t="str">
            <v>9.621531497</v>
          </cell>
          <cell r="M1344" t="str">
            <v>-73.60870211</v>
          </cell>
        </row>
        <row r="1345">
          <cell r="C1345">
            <v>16816</v>
          </cell>
          <cell r="D1345" t="str">
            <v>CM DON CARMELO 2</v>
          </cell>
          <cell r="E1345" t="str">
            <v>S</v>
          </cell>
          <cell r="F1345" t="str">
            <v>20001</v>
          </cell>
          <cell r="G1345" t="str">
            <v xml:space="preserve">CM </v>
          </cell>
          <cell r="H1345" t="str">
            <v>CL||21|||||#|4|F|-|17|||</v>
          </cell>
          <cell r="J1345">
            <v>120523</v>
          </cell>
          <cell r="L1345" t="str">
            <v>10.442633</v>
          </cell>
          <cell r="M1345" t="str">
            <v>-73.264203</v>
          </cell>
        </row>
        <row r="1346">
          <cell r="C1346">
            <v>13281</v>
          </cell>
          <cell r="D1346" t="str">
            <v>TESORERIA ADULTO MAYOR</v>
          </cell>
          <cell r="E1346" t="str">
            <v>S</v>
          </cell>
          <cell r="F1346" t="str">
            <v>20001</v>
          </cell>
          <cell r="J1346">
            <v>0</v>
          </cell>
        </row>
        <row r="1347">
          <cell r="C1347">
            <v>17376</v>
          </cell>
          <cell r="D1347" t="str">
            <v>PDV LA VARIANTE</v>
          </cell>
          <cell r="E1347" t="str">
            <v>S</v>
          </cell>
          <cell r="F1347" t="str">
            <v>20250</v>
          </cell>
          <cell r="G1347" t="str">
            <v xml:space="preserve">PDV </v>
          </cell>
          <cell r="H1347" t="str">
            <v>CR||23|||||#|6||-|45|||</v>
          </cell>
          <cell r="J1347">
            <v>120523</v>
          </cell>
          <cell r="L1347" t="str">
            <v>9.6172</v>
          </cell>
          <cell r="M1347" t="str">
            <v>-73.6041</v>
          </cell>
        </row>
        <row r="1348">
          <cell r="C1348">
            <v>17538</v>
          </cell>
          <cell r="D1348" t="str">
            <v>CM PUNTO ROJO</v>
          </cell>
          <cell r="E1348" t="str">
            <v>S</v>
          </cell>
          <cell r="F1348" t="str">
            <v>20001</v>
          </cell>
          <cell r="G1348" t="str">
            <v xml:space="preserve">CM </v>
          </cell>
          <cell r="H1348" t="str">
            <v>CR||4|||||#|5||-|05|||</v>
          </cell>
          <cell r="J1348">
            <v>0</v>
          </cell>
          <cell r="L1348" t="str">
            <v>10.480031</v>
          </cell>
          <cell r="M1348" t="str">
            <v>-73.254866</v>
          </cell>
        </row>
        <row r="1349">
          <cell r="C1349">
            <v>18001</v>
          </cell>
          <cell r="D1349" t="str">
            <v>SUPERGIROS MOVIL RSC</v>
          </cell>
          <cell r="E1349" t="str">
            <v>S</v>
          </cell>
          <cell r="F1349" t="str">
            <v>20001</v>
          </cell>
          <cell r="G1349" t="str">
            <v xml:space="preserve">AMB </v>
          </cell>
          <cell r="H1349" t="str">
            <v>CR||12|||||#|16||-|42|||</v>
          </cell>
          <cell r="J1349">
            <v>120523</v>
          </cell>
        </row>
        <row r="1350">
          <cell r="C1350">
            <v>45733</v>
          </cell>
          <cell r="D1350" t="str">
            <v>CM EMBAJADA TIGO</v>
          </cell>
          <cell r="E1350" t="str">
            <v>S</v>
          </cell>
          <cell r="F1350" t="str">
            <v>20001</v>
          </cell>
          <cell r="H1350" t="str">
            <v>CR||11|||||#|16|A|-|57|||</v>
          </cell>
          <cell r="J1350">
            <v>260523</v>
          </cell>
          <cell r="L1350" t="str">
            <v>10.473</v>
          </cell>
          <cell r="M1350" t="str">
            <v>-73.2474</v>
          </cell>
        </row>
        <row r="1351">
          <cell r="C1351">
            <v>47544</v>
          </cell>
          <cell r="D1351" t="str">
            <v>CM LAS CORDILLERAS</v>
          </cell>
          <cell r="E1351" t="str">
            <v>S</v>
          </cell>
          <cell r="F1351" t="str">
            <v>20011</v>
          </cell>
          <cell r="H1351" t="str">
            <v>CL 14N # 30-04  BARRIO CORDILLERA</v>
          </cell>
          <cell r="J1351">
            <v>0</v>
          </cell>
          <cell r="L1351" t="str">
            <v>8.3191161</v>
          </cell>
          <cell r="M1351" t="str">
            <v>-73.6070299</v>
          </cell>
        </row>
        <row r="1352">
          <cell r="C1352">
            <v>301513</v>
          </cell>
          <cell r="D1352" t="str">
            <v>CM ROSA</v>
          </cell>
          <cell r="E1352" t="str">
            <v>S</v>
          </cell>
          <cell r="F1352" t="str">
            <v>20001</v>
          </cell>
          <cell r="H1352" t="str">
            <v xml:space="preserve">CLL 18 #33B-39 BRR CICERÓN </v>
          </cell>
          <cell r="J1352">
            <v>0</v>
          </cell>
          <cell r="L1352" t="str">
            <v>10.4523527</v>
          </cell>
          <cell r="M1352" t="str">
            <v>-73.2689803</v>
          </cell>
        </row>
        <row r="1353">
          <cell r="C1353">
            <v>300977</v>
          </cell>
          <cell r="D1353" t="str">
            <v>CM ARBOLEDA</v>
          </cell>
          <cell r="E1353" t="str">
            <v>S</v>
          </cell>
          <cell r="F1353" t="str">
            <v>20011</v>
          </cell>
          <cell r="H1353" t="str">
            <v>MZ 6 CS 16 URB ARBOLEDAS DE ALVEQUIN</v>
          </cell>
          <cell r="J1353">
            <v>0</v>
          </cell>
          <cell r="L1353" t="str">
            <v>8.291414</v>
          </cell>
          <cell r="M1353" t="str">
            <v>73.620538</v>
          </cell>
        </row>
        <row r="1354">
          <cell r="C1354">
            <v>302545</v>
          </cell>
          <cell r="D1354" t="str">
            <v>CM CALLE 13</v>
          </cell>
          <cell r="E1354" t="str">
            <v>S</v>
          </cell>
          <cell r="F1354" t="str">
            <v>20175</v>
          </cell>
          <cell r="H1354" t="str">
            <v>CR 10 CL 13 -26 BARRIO SANTA TERESITA</v>
          </cell>
          <cell r="J1354">
            <v>0</v>
          </cell>
          <cell r="L1354" t="str">
            <v>9.2613</v>
          </cell>
          <cell r="M1354" t="str">
            <v>-73.8139</v>
          </cell>
        </row>
        <row r="1355">
          <cell r="C1355">
            <v>20311</v>
          </cell>
          <cell r="D1355" t="str">
            <v>CM DONDE ENA</v>
          </cell>
          <cell r="E1355" t="str">
            <v>S</v>
          </cell>
          <cell r="F1355" t="str">
            <v>20001</v>
          </cell>
          <cell r="G1355" t="str">
            <v xml:space="preserve">CM </v>
          </cell>
          <cell r="H1355" t="str">
            <v>CR||23|||||#|29||-|15|||</v>
          </cell>
          <cell r="J1355">
            <v>120523</v>
          </cell>
          <cell r="L1355" t="str">
            <v>10.4532</v>
          </cell>
          <cell r="M1355" t="str">
            <v>-73.2537</v>
          </cell>
        </row>
        <row r="1356">
          <cell r="C1356">
            <v>40600</v>
          </cell>
          <cell r="D1356" t="str">
            <v>CM D1</v>
          </cell>
          <cell r="E1356" t="str">
            <v>S</v>
          </cell>
          <cell r="F1356" t="str">
            <v>20238</v>
          </cell>
          <cell r="G1356" t="str">
            <v xml:space="preserve">CM </v>
          </cell>
          <cell r="H1356" t="str">
            <v>CR||4|||||#|4|B|-|44|||</v>
          </cell>
          <cell r="J1356">
            <v>120523</v>
          </cell>
          <cell r="L1356" t="str">
            <v>10.147747</v>
          </cell>
          <cell r="M1356" t="str">
            <v>-73.957543</v>
          </cell>
        </row>
        <row r="1357">
          <cell r="C1357">
            <v>43355</v>
          </cell>
          <cell r="D1357" t="str">
            <v>PDV LOS ALMENDROS BOSCONIA</v>
          </cell>
          <cell r="E1357" t="str">
            <v>S</v>
          </cell>
          <cell r="F1357" t="str">
            <v>20060</v>
          </cell>
          <cell r="H1357" t="str">
            <v>CR||18|||||#|24||-|40|||</v>
          </cell>
          <cell r="J1357">
            <v>120523</v>
          </cell>
          <cell r="L1357" t="str">
            <v>9.97800034</v>
          </cell>
          <cell r="M1357" t="str">
            <v>-73.8893918</v>
          </cell>
        </row>
        <row r="1358">
          <cell r="C1358">
            <v>43778</v>
          </cell>
          <cell r="D1358" t="str">
            <v>CM YOSELIN</v>
          </cell>
          <cell r="E1358" t="str">
            <v>S</v>
          </cell>
          <cell r="F1358" t="str">
            <v>20001</v>
          </cell>
          <cell r="H1358" t="str">
            <v>CR||19|||||#|35||-|50|||</v>
          </cell>
          <cell r="J1358">
            <v>120523</v>
          </cell>
          <cell r="L1358" t="str">
            <v>10.45108</v>
          </cell>
          <cell r="M1358" t="str">
            <v>-73.24797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AC55-7F66-484A-9D89-A11D82E18F81}">
  <dimension ref="A1:M947"/>
  <sheetViews>
    <sheetView tabSelected="1" workbookViewId="0">
      <selection sqref="A1:M3"/>
    </sheetView>
  </sheetViews>
  <sheetFormatPr baseColWidth="10" defaultRowHeight="15" x14ac:dyDescent="0.25"/>
  <cols>
    <col min="1" max="1" width="6.7109375" bestFit="1" customWidth="1"/>
    <col min="2" max="2" width="12.5703125" bestFit="1" customWidth="1"/>
    <col min="3" max="3" width="51.85546875" bestFit="1" customWidth="1"/>
    <col min="4" max="4" width="36.7109375" bestFit="1" customWidth="1"/>
    <col min="5" max="5" width="32.28515625" bestFit="1" customWidth="1"/>
    <col min="6" max="6" width="36.85546875" bestFit="1" customWidth="1"/>
    <col min="8" max="8" width="12.5703125" bestFit="1" customWidth="1"/>
    <col min="9" max="9" width="12.42578125" bestFit="1" customWidth="1"/>
    <col min="10" max="10" width="35.7109375" bestFit="1" customWidth="1"/>
    <col min="11" max="12" width="12.42578125" bestFit="1" customWidth="1"/>
    <col min="13" max="13" width="38.42578125" bestFit="1" customWidth="1"/>
  </cols>
  <sheetData>
    <row r="1" spans="1:13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x14ac:dyDescent="0.25">
      <c r="A2" s="3">
        <v>6971</v>
      </c>
      <c r="B2" s="3">
        <v>7236</v>
      </c>
      <c r="C2" s="3" t="s">
        <v>13</v>
      </c>
      <c r="D2" s="3" t="s">
        <v>14</v>
      </c>
      <c r="E2" s="4">
        <v>8553</v>
      </c>
      <c r="F2" s="3" t="s">
        <v>15</v>
      </c>
      <c r="G2" s="3" t="s">
        <v>16</v>
      </c>
      <c r="H2" s="3" t="str">
        <f>VLOOKUP(B2,'[1]Select territorios'!$C:$L,10,0)</f>
        <v>10.477891</v>
      </c>
      <c r="I2" s="3" t="str">
        <f>VLOOKUP(B2,'[1]Select territorios'!$C:$M,11,0)</f>
        <v>-73.280697</v>
      </c>
      <c r="J2" s="5" t="s">
        <v>17</v>
      </c>
      <c r="K2" s="5">
        <v>15173890</v>
      </c>
      <c r="L2" s="5">
        <v>3002039991</v>
      </c>
      <c r="M2" s="5" t="s">
        <v>18</v>
      </c>
    </row>
    <row r="3" spans="1:13" ht="15.75" x14ac:dyDescent="0.25">
      <c r="A3" s="3">
        <v>6971</v>
      </c>
      <c r="B3" s="3">
        <v>18943</v>
      </c>
      <c r="C3" s="3" t="s">
        <v>19</v>
      </c>
      <c r="D3" s="3" t="s">
        <v>20</v>
      </c>
      <c r="E3" s="6">
        <v>18936</v>
      </c>
      <c r="F3" s="3" t="s">
        <v>21</v>
      </c>
      <c r="G3" s="3" t="s">
        <v>22</v>
      </c>
      <c r="H3" s="3" t="str">
        <f>VLOOKUP(B3,'[1]Select territorios'!$C:$L,10,0)</f>
        <v>10.480582</v>
      </c>
      <c r="I3" s="3" t="str">
        <f>VLOOKUP(B3,'[1]Select territorios'!$C:$M,11,0)</f>
        <v>-73.261152</v>
      </c>
      <c r="J3" s="5" t="s">
        <v>23</v>
      </c>
      <c r="K3" s="5">
        <v>1065600058</v>
      </c>
      <c r="L3" s="5">
        <v>3123009293</v>
      </c>
      <c r="M3" s="5" t="s">
        <v>24</v>
      </c>
    </row>
    <row r="4" spans="1:13" ht="15.75" x14ac:dyDescent="0.25">
      <c r="A4" s="3">
        <v>6971</v>
      </c>
      <c r="B4" s="3">
        <v>8822</v>
      </c>
      <c r="C4" s="3" t="s">
        <v>25</v>
      </c>
      <c r="D4" s="3" t="s">
        <v>26</v>
      </c>
      <c r="E4" s="4">
        <v>18936</v>
      </c>
      <c r="F4" s="3" t="s">
        <v>21</v>
      </c>
      <c r="G4" s="3" t="s">
        <v>27</v>
      </c>
      <c r="H4" s="3" t="str">
        <f>VLOOKUP(B4,'[1]Select territorios'!$C:$L,10,0)</f>
        <v>10.47651</v>
      </c>
      <c r="I4" s="3" t="str">
        <f>VLOOKUP(B4,'[1]Select territorios'!$C:$M,11,0)</f>
        <v>-73.253058</v>
      </c>
      <c r="J4" s="5" t="s">
        <v>23</v>
      </c>
      <c r="K4" s="5">
        <v>1065600058</v>
      </c>
      <c r="L4" s="5">
        <v>3123009293</v>
      </c>
      <c r="M4" s="5" t="s">
        <v>24</v>
      </c>
    </row>
    <row r="5" spans="1:13" ht="15.75" x14ac:dyDescent="0.25">
      <c r="A5" s="3">
        <v>6971</v>
      </c>
      <c r="B5" s="3">
        <v>7190</v>
      </c>
      <c r="C5" s="3" t="s">
        <v>28</v>
      </c>
      <c r="D5" s="3" t="s">
        <v>29</v>
      </c>
      <c r="E5" s="4">
        <v>8552</v>
      </c>
      <c r="F5" s="3" t="s">
        <v>30</v>
      </c>
      <c r="G5" s="3" t="s">
        <v>16</v>
      </c>
      <c r="H5" s="3" t="str">
        <f>VLOOKUP(B5,'[1]Select territorios'!$C:$L,10,0)</f>
        <v>10.458405</v>
      </c>
      <c r="I5" s="3" t="str">
        <f>VLOOKUP(B5,'[1]Select territorios'!$C:$M,11,0)</f>
        <v>-73.264842</v>
      </c>
      <c r="J5" s="5" t="s">
        <v>17</v>
      </c>
      <c r="K5" s="5">
        <v>15173890</v>
      </c>
      <c r="L5" s="5">
        <v>3002039991</v>
      </c>
      <c r="M5" s="5" t="s">
        <v>18</v>
      </c>
    </row>
    <row r="6" spans="1:13" ht="15.75" x14ac:dyDescent="0.25">
      <c r="A6" s="3">
        <v>6971</v>
      </c>
      <c r="B6" s="3">
        <v>13449</v>
      </c>
      <c r="C6" s="3" t="s">
        <v>31</v>
      </c>
      <c r="D6" s="3" t="s">
        <v>32</v>
      </c>
      <c r="E6" s="4">
        <v>9206</v>
      </c>
      <c r="F6" s="3" t="s">
        <v>33</v>
      </c>
      <c r="G6" s="3" t="s">
        <v>16</v>
      </c>
      <c r="H6" s="3" t="str">
        <f>VLOOKUP(B6,'[1]Select territorios'!$C:$L,10,0)</f>
        <v>10.445351</v>
      </c>
      <c r="I6" s="3" t="str">
        <f>VLOOKUP(B6,'[1]Select territorios'!$C:$M,11,0)</f>
        <v>-73.271942</v>
      </c>
      <c r="J6" s="5" t="s">
        <v>17</v>
      </c>
      <c r="K6" s="5">
        <v>15173890</v>
      </c>
      <c r="L6" s="5">
        <v>3002039991</v>
      </c>
      <c r="M6" s="5" t="s">
        <v>18</v>
      </c>
    </row>
    <row r="7" spans="1:13" ht="15.75" x14ac:dyDescent="0.25">
      <c r="A7" s="3">
        <v>6971</v>
      </c>
      <c r="B7" s="3">
        <v>7123</v>
      </c>
      <c r="C7" s="3" t="s">
        <v>34</v>
      </c>
      <c r="D7" s="3" t="s">
        <v>35</v>
      </c>
      <c r="E7" s="4">
        <v>8556</v>
      </c>
      <c r="F7" s="3" t="s">
        <v>36</v>
      </c>
      <c r="G7" s="3" t="s">
        <v>27</v>
      </c>
      <c r="H7" s="3" t="str">
        <f>VLOOKUP(B7,'[1]Select territorios'!$C:$L,10,0)</f>
        <v>10.473237</v>
      </c>
      <c r="I7" s="3" t="str">
        <f>VLOOKUP(B7,'[1]Select territorios'!$C:$M,11,0)</f>
        <v>-73.242863</v>
      </c>
      <c r="J7" s="5" t="s">
        <v>23</v>
      </c>
      <c r="K7" s="5">
        <v>1065600058</v>
      </c>
      <c r="L7" s="5">
        <v>3123009293</v>
      </c>
      <c r="M7" s="5" t="s">
        <v>24</v>
      </c>
    </row>
    <row r="8" spans="1:13" ht="15.75" x14ac:dyDescent="0.25">
      <c r="A8" s="3">
        <v>6971</v>
      </c>
      <c r="B8" s="3">
        <v>8067</v>
      </c>
      <c r="C8" s="3" t="s">
        <v>37</v>
      </c>
      <c r="D8" s="3" t="s">
        <v>38</v>
      </c>
      <c r="E8" s="4">
        <v>6989</v>
      </c>
      <c r="F8" s="3" t="s">
        <v>39</v>
      </c>
      <c r="G8" s="3" t="s">
        <v>27</v>
      </c>
      <c r="H8" s="3" t="str">
        <f>VLOOKUP(B8,'[1]Select territorios'!$C:$L,10,0)</f>
        <v>10.39205</v>
      </c>
      <c r="I8" s="3" t="str">
        <f>VLOOKUP(B8,'[1]Select territorios'!$C:$M,11,0)</f>
        <v>-73.034433</v>
      </c>
      <c r="J8" s="5" t="s">
        <v>40</v>
      </c>
      <c r="K8" s="5">
        <v>1003275622</v>
      </c>
      <c r="L8" s="5">
        <v>3218847746</v>
      </c>
      <c r="M8" s="5" t="s">
        <v>41</v>
      </c>
    </row>
    <row r="9" spans="1:13" ht="15.75" x14ac:dyDescent="0.25">
      <c r="A9" s="3">
        <v>6971</v>
      </c>
      <c r="B9" s="3">
        <v>7164</v>
      </c>
      <c r="C9" s="3" t="s">
        <v>42</v>
      </c>
      <c r="D9" s="3" t="s">
        <v>43</v>
      </c>
      <c r="E9" s="4">
        <v>18935</v>
      </c>
      <c r="F9" s="3" t="s">
        <v>44</v>
      </c>
      <c r="G9" s="3" t="s">
        <v>16</v>
      </c>
      <c r="H9" s="3" t="str">
        <f>VLOOKUP(B9,'[1]Select territorios'!$C:$L,10,0)</f>
        <v>10.4605</v>
      </c>
      <c r="I9" s="3" t="str">
        <f>VLOOKUP(B9,'[1]Select territorios'!$C:$M,11,0)</f>
        <v>-73.2544</v>
      </c>
      <c r="J9" s="5" t="s">
        <v>40</v>
      </c>
      <c r="K9" s="5">
        <v>1003275622</v>
      </c>
      <c r="L9" s="5">
        <v>3218847746</v>
      </c>
      <c r="M9" s="5" t="s">
        <v>41</v>
      </c>
    </row>
    <row r="10" spans="1:13" ht="15.75" x14ac:dyDescent="0.25">
      <c r="A10" s="3">
        <v>6971</v>
      </c>
      <c r="B10" s="3">
        <v>7106</v>
      </c>
      <c r="C10" s="3" t="s">
        <v>45</v>
      </c>
      <c r="D10" s="3" t="s">
        <v>46</v>
      </c>
      <c r="E10" s="4">
        <v>6981</v>
      </c>
      <c r="F10" s="3" t="s">
        <v>47</v>
      </c>
      <c r="G10" s="3" t="s">
        <v>22</v>
      </c>
      <c r="H10" s="3" t="str">
        <f>VLOOKUP(B10,'[1]Select territorios'!$C:$L,10,0)</f>
        <v>9.6589</v>
      </c>
      <c r="I10" s="3" t="str">
        <f>VLOOKUP(B10,'[1]Select territorios'!$C:$M,11,0)</f>
        <v>-73.7507</v>
      </c>
      <c r="J10" s="5" t="s">
        <v>48</v>
      </c>
      <c r="K10" s="5">
        <v>1064795379</v>
      </c>
      <c r="L10" s="5">
        <v>3104688587</v>
      </c>
      <c r="M10" s="5" t="s">
        <v>49</v>
      </c>
    </row>
    <row r="11" spans="1:13" ht="15.75" x14ac:dyDescent="0.25">
      <c r="A11" s="3">
        <v>6971</v>
      </c>
      <c r="B11" s="3">
        <v>7094</v>
      </c>
      <c r="C11" s="3" t="s">
        <v>50</v>
      </c>
      <c r="D11" s="3" t="s">
        <v>51</v>
      </c>
      <c r="E11" s="4">
        <v>6977</v>
      </c>
      <c r="F11" s="3" t="s">
        <v>52</v>
      </c>
      <c r="G11" s="3" t="s">
        <v>22</v>
      </c>
      <c r="H11" s="3" t="str">
        <f>VLOOKUP(B11,'[1]Select territorios'!$C:$L,10,0)</f>
        <v>9.36396206</v>
      </c>
      <c r="I11" s="3" t="str">
        <f>VLOOKUP(B11,'[1]Select territorios'!$C:$M,11,0)</f>
        <v>-73.60350189</v>
      </c>
      <c r="J11" s="5" t="s">
        <v>48</v>
      </c>
      <c r="K11" s="5">
        <v>1064795379</v>
      </c>
      <c r="L11" s="5">
        <v>3104688587</v>
      </c>
      <c r="M11" s="5" t="s">
        <v>49</v>
      </c>
    </row>
    <row r="12" spans="1:13" ht="15.75" x14ac:dyDescent="0.25">
      <c r="A12" s="3">
        <v>6971</v>
      </c>
      <c r="B12" s="3">
        <v>7134</v>
      </c>
      <c r="C12" s="3" t="s">
        <v>53</v>
      </c>
      <c r="D12" s="3" t="s">
        <v>54</v>
      </c>
      <c r="E12" s="4">
        <v>7001</v>
      </c>
      <c r="F12" s="3" t="s">
        <v>55</v>
      </c>
      <c r="G12" s="3" t="s">
        <v>27</v>
      </c>
      <c r="H12" s="3" t="str">
        <f>VLOOKUP(B12,'[1]Select territorios'!$C:$L,10,0)</f>
        <v>10.4671</v>
      </c>
      <c r="I12" s="3" t="str">
        <f>VLOOKUP(B12,'[1]Select territorios'!$C:$M,11,0)</f>
        <v>-73.2522</v>
      </c>
      <c r="J12" s="5" t="s">
        <v>23</v>
      </c>
      <c r="K12" s="5">
        <v>1065600058</v>
      </c>
      <c r="L12" s="5">
        <v>3123009293</v>
      </c>
      <c r="M12" s="5" t="s">
        <v>24</v>
      </c>
    </row>
    <row r="13" spans="1:13" ht="15.75" x14ac:dyDescent="0.25">
      <c r="A13" s="3">
        <v>6971</v>
      </c>
      <c r="B13" s="3">
        <v>7090</v>
      </c>
      <c r="C13" s="3" t="s">
        <v>56</v>
      </c>
      <c r="D13" s="3" t="s">
        <v>57</v>
      </c>
      <c r="E13" s="4">
        <v>6979</v>
      </c>
      <c r="F13" s="3" t="s">
        <v>57</v>
      </c>
      <c r="G13" s="3" t="s">
        <v>22</v>
      </c>
      <c r="H13" s="3" t="str">
        <f>VLOOKUP(B13,'[1]Select territorios'!$C:$L,10,0)</f>
        <v>9.199663</v>
      </c>
      <c r="I13" s="3" t="str">
        <f>VLOOKUP(B13,'[1]Select territorios'!$C:$M,11,0)</f>
        <v>-73.543478</v>
      </c>
      <c r="J13" s="5" t="s">
        <v>58</v>
      </c>
      <c r="K13" s="5">
        <v>1193146338</v>
      </c>
      <c r="L13" s="5">
        <v>3202114923</v>
      </c>
      <c r="M13" s="5" t="s">
        <v>59</v>
      </c>
    </row>
    <row r="14" spans="1:13" ht="15.75" x14ac:dyDescent="0.25">
      <c r="A14" s="3">
        <v>6971</v>
      </c>
      <c r="B14" s="3">
        <v>7192</v>
      </c>
      <c r="C14" s="3" t="s">
        <v>60</v>
      </c>
      <c r="D14" s="3" t="s">
        <v>61</v>
      </c>
      <c r="E14" s="4">
        <v>8558</v>
      </c>
      <c r="F14" s="3" t="s">
        <v>62</v>
      </c>
      <c r="G14" s="3" t="s">
        <v>16</v>
      </c>
      <c r="H14" s="3" t="str">
        <f>VLOOKUP(B14,'[1]Select territorios'!$C:$L,10,0)</f>
        <v>10.4803266</v>
      </c>
      <c r="I14" s="3" t="str">
        <f>VLOOKUP(B14,'[1]Select territorios'!$C:$M,11,0)</f>
        <v>-73.274939</v>
      </c>
      <c r="J14" s="5" t="s">
        <v>23</v>
      </c>
      <c r="K14" s="5">
        <v>1065600058</v>
      </c>
      <c r="L14" s="5">
        <v>3123009293</v>
      </c>
      <c r="M14" s="5" t="s">
        <v>24</v>
      </c>
    </row>
    <row r="15" spans="1:13" ht="15.75" x14ac:dyDescent="0.25">
      <c r="A15" s="3">
        <v>6971</v>
      </c>
      <c r="B15" s="3">
        <v>9139</v>
      </c>
      <c r="C15" s="3" t="s">
        <v>63</v>
      </c>
      <c r="D15" s="3" t="s">
        <v>64</v>
      </c>
      <c r="E15" s="4">
        <v>8558</v>
      </c>
      <c r="F15" s="3" t="s">
        <v>62</v>
      </c>
      <c r="G15" s="3" t="s">
        <v>16</v>
      </c>
      <c r="H15" s="3" t="str">
        <f>VLOOKUP(B15,'[1]Select territorios'!$C:$L,10,0)</f>
        <v>10.469355</v>
      </c>
      <c r="I15" s="3" t="str">
        <f>VLOOKUP(B15,'[1]Select territorios'!$C:$M,11,0)</f>
        <v>-73.262301</v>
      </c>
      <c r="J15" s="5" t="s">
        <v>23</v>
      </c>
      <c r="K15" s="5">
        <v>1065600058</v>
      </c>
      <c r="L15" s="5">
        <v>3123009293</v>
      </c>
      <c r="M15" s="5" t="s">
        <v>24</v>
      </c>
    </row>
    <row r="16" spans="1:13" ht="15.75" x14ac:dyDescent="0.25">
      <c r="A16" s="3">
        <v>6971</v>
      </c>
      <c r="B16" s="3">
        <v>8357</v>
      </c>
      <c r="C16" s="3" t="s">
        <v>65</v>
      </c>
      <c r="D16" s="3" t="s">
        <v>66</v>
      </c>
      <c r="E16" s="4">
        <v>45386</v>
      </c>
      <c r="F16" s="3" t="s">
        <v>67</v>
      </c>
      <c r="G16" s="3" t="s">
        <v>16</v>
      </c>
      <c r="H16" s="3" t="str">
        <f>VLOOKUP(B16,'[1]Select territorios'!$C:$L,10,0)</f>
        <v>10.18546</v>
      </c>
      <c r="I16" s="3" t="str">
        <f>VLOOKUP(B16,'[1]Select territorios'!$C:$M,11,0)</f>
        <v>-73.587089</v>
      </c>
      <c r="J16" s="5" t="s">
        <v>40</v>
      </c>
      <c r="K16" s="5">
        <v>1003275622</v>
      </c>
      <c r="L16" s="5">
        <v>3218847746</v>
      </c>
      <c r="M16" s="5" t="s">
        <v>41</v>
      </c>
    </row>
    <row r="17" spans="1:13" ht="15.75" x14ac:dyDescent="0.25">
      <c r="A17" s="3">
        <v>6971</v>
      </c>
      <c r="B17" s="3">
        <v>7175</v>
      </c>
      <c r="C17" s="3" t="s">
        <v>68</v>
      </c>
      <c r="D17" s="3" t="s">
        <v>69</v>
      </c>
      <c r="E17" s="4">
        <v>6991</v>
      </c>
      <c r="F17" s="3" t="s">
        <v>70</v>
      </c>
      <c r="G17" s="3" t="s">
        <v>27</v>
      </c>
      <c r="H17" s="3" t="str">
        <f>VLOOKUP(B17,'[1]Select territorios'!$C:$L,10,0)</f>
        <v>8.73125737</v>
      </c>
      <c r="I17" s="3" t="str">
        <f>VLOOKUP(B17,'[1]Select territorios'!$C:$M,11,0)</f>
        <v>-73.721738</v>
      </c>
      <c r="J17" s="5" t="s">
        <v>71</v>
      </c>
      <c r="K17" s="5">
        <v>1065818056</v>
      </c>
      <c r="L17" s="5">
        <v>3145467066</v>
      </c>
      <c r="M17" s="5" t="s">
        <v>72</v>
      </c>
    </row>
    <row r="18" spans="1:13" ht="15.75" x14ac:dyDescent="0.25">
      <c r="A18" s="3">
        <v>6971</v>
      </c>
      <c r="B18" s="3">
        <v>7098</v>
      </c>
      <c r="C18" s="3" t="s">
        <v>73</v>
      </c>
      <c r="D18" s="3" t="s">
        <v>74</v>
      </c>
      <c r="E18" s="4">
        <v>6984</v>
      </c>
      <c r="F18" s="3" t="s">
        <v>75</v>
      </c>
      <c r="G18" s="3" t="s">
        <v>22</v>
      </c>
      <c r="H18" s="3" t="str">
        <f>VLOOKUP(B18,'[1]Select territorios'!$C:$L,10,0)</f>
        <v>8.617435</v>
      </c>
      <c r="I18" s="3" t="str">
        <f>VLOOKUP(B18,'[1]Select territorios'!$C:$M,11,0)</f>
        <v>-73.803569</v>
      </c>
      <c r="J18" s="5" t="s">
        <v>71</v>
      </c>
      <c r="K18" s="5">
        <v>1065818056</v>
      </c>
      <c r="L18" s="5">
        <v>3145467066</v>
      </c>
      <c r="M18" s="5" t="s">
        <v>72</v>
      </c>
    </row>
    <row r="19" spans="1:13" ht="15.75" x14ac:dyDescent="0.25">
      <c r="A19" s="3">
        <v>6971</v>
      </c>
      <c r="B19" s="3">
        <v>7166</v>
      </c>
      <c r="C19" s="3" t="s">
        <v>76</v>
      </c>
      <c r="D19" s="3" t="s">
        <v>77</v>
      </c>
      <c r="E19" s="4">
        <v>6975</v>
      </c>
      <c r="F19" s="3" t="s">
        <v>78</v>
      </c>
      <c r="G19" s="3" t="s">
        <v>27</v>
      </c>
      <c r="H19" s="3" t="str">
        <f>VLOOKUP(B19,'[1]Select territorios'!$C:$L,10,0)</f>
        <v>10.012697</v>
      </c>
      <c r="I19" s="3" t="str">
        <f>VLOOKUP(B19,'[1]Select territorios'!$C:$M,11,0)</f>
        <v>-73.69809219</v>
      </c>
      <c r="J19" s="5" t="s">
        <v>48</v>
      </c>
      <c r="K19" s="5">
        <v>1064795379</v>
      </c>
      <c r="L19" s="5">
        <v>3104688587</v>
      </c>
      <c r="M19" s="5" t="s">
        <v>49</v>
      </c>
    </row>
    <row r="20" spans="1:13" ht="15.75" x14ac:dyDescent="0.25">
      <c r="A20" s="3">
        <v>6971</v>
      </c>
      <c r="B20" s="3">
        <v>8415</v>
      </c>
      <c r="C20" s="3" t="s">
        <v>79</v>
      </c>
      <c r="D20" s="3" t="s">
        <v>80</v>
      </c>
      <c r="E20" s="4">
        <v>8554</v>
      </c>
      <c r="F20" s="3" t="s">
        <v>81</v>
      </c>
      <c r="G20" s="3" t="s">
        <v>27</v>
      </c>
      <c r="H20" s="3" t="str">
        <f>VLOOKUP(B20,'[1]Select territorios'!$C:$L,10,0)</f>
        <v>10.4474</v>
      </c>
      <c r="I20" s="3" t="str">
        <f>VLOOKUP(B20,'[1]Select territorios'!$C:$M,11,0)</f>
        <v>-73.2382</v>
      </c>
      <c r="J20" s="5" t="s">
        <v>40</v>
      </c>
      <c r="K20" s="5">
        <v>1003275622</v>
      </c>
      <c r="L20" s="5">
        <v>3218847746</v>
      </c>
      <c r="M20" s="5" t="s">
        <v>41</v>
      </c>
    </row>
    <row r="21" spans="1:13" ht="15.75" x14ac:dyDescent="0.25">
      <c r="A21" s="3">
        <v>6971</v>
      </c>
      <c r="B21" s="3">
        <v>17713</v>
      </c>
      <c r="C21" s="3" t="s">
        <v>82</v>
      </c>
      <c r="D21" s="3" t="s">
        <v>83</v>
      </c>
      <c r="E21" s="4">
        <v>8556</v>
      </c>
      <c r="F21" s="3" t="s">
        <v>36</v>
      </c>
      <c r="G21" s="3" t="s">
        <v>27</v>
      </c>
      <c r="H21" s="3" t="str">
        <f>VLOOKUP(B21,'[1]Select territorios'!$C:$L,10,0)</f>
        <v>10.4678</v>
      </c>
      <c r="I21" s="3" t="str">
        <f>VLOOKUP(B21,'[1]Select territorios'!$C:$M,11,0)</f>
        <v>-73.2388</v>
      </c>
      <c r="J21" s="5" t="s">
        <v>23</v>
      </c>
      <c r="K21" s="5">
        <v>1065600058</v>
      </c>
      <c r="L21" s="5">
        <v>3123009293</v>
      </c>
      <c r="M21" s="5" t="s">
        <v>24</v>
      </c>
    </row>
    <row r="22" spans="1:13" ht="15.75" x14ac:dyDescent="0.25">
      <c r="A22" s="3">
        <v>6971</v>
      </c>
      <c r="B22" s="3">
        <v>7238</v>
      </c>
      <c r="C22" s="3" t="s">
        <v>84</v>
      </c>
      <c r="D22" s="3" t="s">
        <v>85</v>
      </c>
      <c r="E22" s="4">
        <v>7001</v>
      </c>
      <c r="F22" s="3" t="s">
        <v>55</v>
      </c>
      <c r="G22" s="3" t="s">
        <v>16</v>
      </c>
      <c r="H22" s="3" t="str">
        <f>VLOOKUP(B22,'[1]Select territorios'!$C:$L,10,0)</f>
        <v>10.4658</v>
      </c>
      <c r="I22" s="3" t="str">
        <f>VLOOKUP(B22,'[1]Select territorios'!$C:$M,11,0)</f>
        <v>-73.2467</v>
      </c>
      <c r="J22" s="5" t="s">
        <v>23</v>
      </c>
      <c r="K22" s="5">
        <v>1065600058</v>
      </c>
      <c r="L22" s="5">
        <v>3123009293</v>
      </c>
      <c r="M22" s="5" t="s">
        <v>24</v>
      </c>
    </row>
    <row r="23" spans="1:13" ht="15.75" x14ac:dyDescent="0.25">
      <c r="A23" s="3">
        <v>6971</v>
      </c>
      <c r="B23" s="3">
        <v>7034</v>
      </c>
      <c r="C23" s="3" t="s">
        <v>86</v>
      </c>
      <c r="D23" s="3" t="s">
        <v>87</v>
      </c>
      <c r="E23" s="4">
        <v>6997</v>
      </c>
      <c r="F23" s="3" t="s">
        <v>88</v>
      </c>
      <c r="G23" s="3" t="s">
        <v>22</v>
      </c>
      <c r="H23" s="3" t="str">
        <f>VLOOKUP(B23,'[1]Select territorios'!$C:$L,10,0)</f>
        <v>10.335776</v>
      </c>
      <c r="I23" s="3" t="str">
        <f>VLOOKUP(B23,'[1]Select territorios'!$C:$M,11,0)</f>
        <v>-73.178657</v>
      </c>
      <c r="J23" s="5" t="s">
        <v>17</v>
      </c>
      <c r="K23" s="5">
        <v>15173890</v>
      </c>
      <c r="L23" s="5">
        <v>3002039991</v>
      </c>
      <c r="M23" s="5" t="s">
        <v>18</v>
      </c>
    </row>
    <row r="24" spans="1:13" ht="15.75" x14ac:dyDescent="0.25">
      <c r="A24" s="3">
        <v>6971</v>
      </c>
      <c r="B24" s="3">
        <v>7171</v>
      </c>
      <c r="C24" s="3" t="s">
        <v>89</v>
      </c>
      <c r="D24" s="3" t="s">
        <v>90</v>
      </c>
      <c r="E24" s="4">
        <v>6978</v>
      </c>
      <c r="F24" s="3" t="s">
        <v>91</v>
      </c>
      <c r="G24" s="3" t="s">
        <v>27</v>
      </c>
      <c r="H24" s="3" t="str">
        <f>VLOOKUP(B24,'[1]Select territorios'!$C:$L,10,0)</f>
        <v>10.03855</v>
      </c>
      <c r="I24" s="3" t="str">
        <f>VLOOKUP(B24,'[1]Select territorios'!$C:$M,11,0)</f>
        <v>-73.2333</v>
      </c>
      <c r="J24" s="5" t="s">
        <v>58</v>
      </c>
      <c r="K24" s="5">
        <v>1193146338</v>
      </c>
      <c r="L24" s="5">
        <v>3202114923</v>
      </c>
      <c r="M24" s="5" t="s">
        <v>59</v>
      </c>
    </row>
    <row r="25" spans="1:13" ht="15.75" x14ac:dyDescent="0.25">
      <c r="A25" s="3">
        <v>6971</v>
      </c>
      <c r="B25" s="3">
        <v>8676</v>
      </c>
      <c r="C25" s="3" t="s">
        <v>92</v>
      </c>
      <c r="D25" s="3" t="s">
        <v>93</v>
      </c>
      <c r="E25" s="4">
        <v>8556</v>
      </c>
      <c r="F25" s="3" t="s">
        <v>36</v>
      </c>
      <c r="G25" s="3" t="s">
        <v>27</v>
      </c>
      <c r="H25" s="3" t="str">
        <f>VLOOKUP(B25,'[1]Select territorios'!$C:$L,10,0)</f>
        <v>10.4732</v>
      </c>
      <c r="I25" s="3" t="str">
        <f>VLOOKUP(B25,'[1]Select territorios'!$C:$M,11,0)</f>
        <v>-73.243</v>
      </c>
      <c r="J25" s="5" t="s">
        <v>23</v>
      </c>
      <c r="K25" s="5">
        <v>1065600058</v>
      </c>
      <c r="L25" s="5">
        <v>3123009293</v>
      </c>
      <c r="M25" s="5" t="s">
        <v>24</v>
      </c>
    </row>
    <row r="26" spans="1:13" ht="15.75" x14ac:dyDescent="0.25">
      <c r="A26" s="3">
        <v>6971</v>
      </c>
      <c r="B26" s="3">
        <v>7086</v>
      </c>
      <c r="C26" s="3" t="s">
        <v>94</v>
      </c>
      <c r="D26" s="3" t="s">
        <v>95</v>
      </c>
      <c r="E26" s="4">
        <v>6976</v>
      </c>
      <c r="F26" s="3" t="s">
        <v>96</v>
      </c>
      <c r="G26" s="3" t="s">
        <v>22</v>
      </c>
      <c r="H26" s="3" t="str">
        <f>VLOOKUP(B26,'[1]Select territorios'!$C:$L,10,0)</f>
        <v>9.151763</v>
      </c>
      <c r="I26" s="3" t="str">
        <f>VLOOKUP(B26,'[1]Select territorios'!$C:$M,11,0)</f>
        <v>-73.484145</v>
      </c>
      <c r="J26" s="5" t="s">
        <v>48</v>
      </c>
      <c r="K26" s="5">
        <v>1064795379</v>
      </c>
      <c r="L26" s="5">
        <v>3104688587</v>
      </c>
      <c r="M26" s="5" t="s">
        <v>49</v>
      </c>
    </row>
    <row r="27" spans="1:13" ht="15.75" x14ac:dyDescent="0.25">
      <c r="A27" s="3">
        <v>6971</v>
      </c>
      <c r="B27" s="3">
        <v>45198</v>
      </c>
      <c r="C27" s="3" t="s">
        <v>97</v>
      </c>
      <c r="D27" s="3" t="s">
        <v>98</v>
      </c>
      <c r="E27" s="4">
        <v>6976</v>
      </c>
      <c r="F27" s="3" t="s">
        <v>96</v>
      </c>
      <c r="G27" s="3" t="s">
        <v>16</v>
      </c>
      <c r="H27" s="3" t="str">
        <f>VLOOKUP(B27,'[1]Select territorios'!$C:$L,10,0)</f>
        <v>9.253428</v>
      </c>
      <c r="I27" s="3" t="str">
        <f>VLOOKUP(B27,'[1]Select territorios'!$C:$M,11,0)</f>
        <v>-73.813145</v>
      </c>
      <c r="J27" s="5" t="s">
        <v>48</v>
      </c>
      <c r="K27" s="5">
        <v>1064795379</v>
      </c>
      <c r="L27" s="5">
        <v>3104688587</v>
      </c>
      <c r="M27" s="5" t="s">
        <v>49</v>
      </c>
    </row>
    <row r="28" spans="1:13" ht="15.75" x14ac:dyDescent="0.25">
      <c r="A28" s="3">
        <v>6971</v>
      </c>
      <c r="B28" s="3">
        <v>7074</v>
      </c>
      <c r="C28" s="3" t="s">
        <v>99</v>
      </c>
      <c r="D28" s="3" t="s">
        <v>100</v>
      </c>
      <c r="E28" s="4">
        <v>6985</v>
      </c>
      <c r="F28" s="3" t="s">
        <v>101</v>
      </c>
      <c r="G28" s="3" t="s">
        <v>22</v>
      </c>
      <c r="H28" s="3" t="str">
        <f>VLOOKUP(B28,'[1]Select territorios'!$C:$L,10,0)</f>
        <v>9.5638</v>
      </c>
      <c r="I28" s="3" t="str">
        <f>VLOOKUP(B28,'[1]Select territorios'!$C:$M,11,0)</f>
        <v>-73.3378</v>
      </c>
      <c r="J28" s="5" t="s">
        <v>58</v>
      </c>
      <c r="K28" s="5">
        <v>1193146338</v>
      </c>
      <c r="L28" s="5">
        <v>3202114923</v>
      </c>
      <c r="M28" s="5" t="s">
        <v>59</v>
      </c>
    </row>
    <row r="29" spans="1:13" ht="15.75" x14ac:dyDescent="0.25">
      <c r="A29" s="3">
        <v>6971</v>
      </c>
      <c r="B29" s="3">
        <v>7174</v>
      </c>
      <c r="C29" s="3" t="s">
        <v>102</v>
      </c>
      <c r="D29" s="3" t="s">
        <v>103</v>
      </c>
      <c r="E29" s="4">
        <v>6991</v>
      </c>
      <c r="F29" s="3" t="s">
        <v>70</v>
      </c>
      <c r="G29" s="3" t="s">
        <v>16</v>
      </c>
      <c r="H29" s="3" t="str">
        <f>VLOOKUP(B29,'[1]Select territorios'!$C:$L,10,0)</f>
        <v>8.688506</v>
      </c>
      <c r="I29" s="3" t="str">
        <f>VLOOKUP(B29,'[1]Select territorios'!$C:$M,11,0)</f>
        <v>-73.66418</v>
      </c>
      <c r="J29" s="5" t="s">
        <v>71</v>
      </c>
      <c r="K29" s="5">
        <v>1065818056</v>
      </c>
      <c r="L29" s="5">
        <v>3145467066</v>
      </c>
      <c r="M29" s="5" t="s">
        <v>72</v>
      </c>
    </row>
    <row r="30" spans="1:13" ht="15.75" x14ac:dyDescent="0.25">
      <c r="A30" s="3">
        <v>6971</v>
      </c>
      <c r="B30" s="3">
        <v>8516</v>
      </c>
      <c r="C30" s="3" t="s">
        <v>104</v>
      </c>
      <c r="D30" s="3" t="s">
        <v>105</v>
      </c>
      <c r="E30" s="4">
        <v>6998</v>
      </c>
      <c r="F30" s="3" t="s">
        <v>106</v>
      </c>
      <c r="G30" s="3" t="s">
        <v>27</v>
      </c>
      <c r="H30" s="3" t="str">
        <f>VLOOKUP(B30,'[1]Select territorios'!$C:$L,10,0)</f>
        <v>7.85753333</v>
      </c>
      <c r="I30" s="3" t="str">
        <f>VLOOKUP(B30,'[1]Select territorios'!$C:$M,11,0)</f>
        <v>-73.54622166</v>
      </c>
      <c r="J30" s="5" t="s">
        <v>107</v>
      </c>
      <c r="K30" s="5">
        <v>1005281494</v>
      </c>
      <c r="L30" s="5">
        <v>3158541035</v>
      </c>
      <c r="M30" s="5" t="s">
        <v>108</v>
      </c>
    </row>
    <row r="31" spans="1:13" ht="15.75" x14ac:dyDescent="0.25">
      <c r="A31" s="3">
        <v>6971</v>
      </c>
      <c r="B31" s="3">
        <v>7038</v>
      </c>
      <c r="C31" s="3" t="s">
        <v>109</v>
      </c>
      <c r="D31" s="3" t="s">
        <v>110</v>
      </c>
      <c r="E31" s="4">
        <v>6998</v>
      </c>
      <c r="F31" s="3" t="s">
        <v>106</v>
      </c>
      <c r="G31" s="3" t="s">
        <v>22</v>
      </c>
      <c r="H31" s="3" t="str">
        <f>VLOOKUP(B31,'[1]Select territorios'!$C:$L,10,0)</f>
        <v>8.00211</v>
      </c>
      <c r="I31" s="3" t="str">
        <f>VLOOKUP(B31,'[1]Select territorios'!$C:$M,11,0)</f>
        <v>-73.51164</v>
      </c>
      <c r="J31" s="5" t="s">
        <v>107</v>
      </c>
      <c r="K31" s="5">
        <v>1005281494</v>
      </c>
      <c r="L31" s="5">
        <v>3158541035</v>
      </c>
      <c r="M31" s="5" t="s">
        <v>108</v>
      </c>
    </row>
    <row r="32" spans="1:13" ht="15.75" x14ac:dyDescent="0.25">
      <c r="A32" s="3">
        <v>6971</v>
      </c>
      <c r="B32" s="3">
        <v>7022</v>
      </c>
      <c r="C32" s="3" t="s">
        <v>111</v>
      </c>
      <c r="D32" s="3" t="s">
        <v>112</v>
      </c>
      <c r="E32" s="4">
        <v>6996</v>
      </c>
      <c r="F32" s="3" t="s">
        <v>113</v>
      </c>
      <c r="G32" s="3" t="s">
        <v>22</v>
      </c>
      <c r="H32" s="3" t="str">
        <f>VLOOKUP(B32,'[1]Select territorios'!$C:$L,10,0)</f>
        <v>7.76126</v>
      </c>
      <c r="I32" s="3" t="str">
        <f>VLOOKUP(B32,'[1]Select territorios'!$C:$M,11,0)</f>
        <v>-73.391668</v>
      </c>
      <c r="J32" s="5" t="s">
        <v>107</v>
      </c>
      <c r="K32" s="5">
        <v>1005281494</v>
      </c>
      <c r="L32" s="5">
        <v>3158541035</v>
      </c>
      <c r="M32" s="5" t="s">
        <v>108</v>
      </c>
    </row>
    <row r="33" spans="1:13" ht="15.75" x14ac:dyDescent="0.25">
      <c r="A33" s="3">
        <v>6971</v>
      </c>
      <c r="B33" s="3">
        <v>7006</v>
      </c>
      <c r="C33" s="3" t="s">
        <v>114</v>
      </c>
      <c r="D33" s="3" t="s">
        <v>115</v>
      </c>
      <c r="E33" s="4">
        <v>6989</v>
      </c>
      <c r="F33" s="3" t="s">
        <v>39</v>
      </c>
      <c r="G33" s="3" t="s">
        <v>22</v>
      </c>
      <c r="H33" s="3" t="str">
        <f>VLOOKUP(B33,'[1]Select territorios'!$C:$L,10,0)</f>
        <v>10.39131166</v>
      </c>
      <c r="I33" s="3" t="str">
        <f>VLOOKUP(B33,'[1]Select territorios'!$C:$M,11,0)</f>
        <v>-73.02780333</v>
      </c>
      <c r="J33" s="5" t="s">
        <v>40</v>
      </c>
      <c r="K33" s="5">
        <v>1003275622</v>
      </c>
      <c r="L33" s="5">
        <v>3218847746</v>
      </c>
      <c r="M33" s="5" t="s">
        <v>41</v>
      </c>
    </row>
    <row r="34" spans="1:13" ht="15.75" x14ac:dyDescent="0.25">
      <c r="A34" s="3">
        <v>6971</v>
      </c>
      <c r="B34" s="3">
        <v>7026</v>
      </c>
      <c r="C34" s="3" t="s">
        <v>116</v>
      </c>
      <c r="D34" s="3" t="s">
        <v>117</v>
      </c>
      <c r="E34" s="4">
        <v>6982</v>
      </c>
      <c r="F34" s="3" t="s">
        <v>118</v>
      </c>
      <c r="G34" s="3" t="s">
        <v>16</v>
      </c>
      <c r="H34" s="3" t="str">
        <f>VLOOKUP(B34,'[1]Select territorios'!$C:$L,10,0)</f>
        <v>8.32228</v>
      </c>
      <c r="I34" s="3" t="str">
        <f>VLOOKUP(B34,'[1]Select territorios'!$C:$M,11,0)</f>
        <v>-73.74236</v>
      </c>
      <c r="J34" s="5" t="s">
        <v>107</v>
      </c>
      <c r="K34" s="5">
        <v>1005281494</v>
      </c>
      <c r="L34" s="5">
        <v>3158541035</v>
      </c>
      <c r="M34" s="5" t="s">
        <v>108</v>
      </c>
    </row>
    <row r="35" spans="1:13" ht="15.75" x14ac:dyDescent="0.25">
      <c r="A35" s="3">
        <v>6971</v>
      </c>
      <c r="B35" s="3">
        <v>7058</v>
      </c>
      <c r="C35" s="3" t="s">
        <v>119</v>
      </c>
      <c r="D35" s="3" t="s">
        <v>91</v>
      </c>
      <c r="E35" s="4">
        <v>6978</v>
      </c>
      <c r="F35" s="3" t="s">
        <v>91</v>
      </c>
      <c r="G35" s="3" t="s">
        <v>22</v>
      </c>
      <c r="H35" s="3" t="str">
        <f>VLOOKUP(B35,'[1]Select territorios'!$C:$L,10,0)</f>
        <v>10.03699</v>
      </c>
      <c r="I35" s="3" t="str">
        <f>VLOOKUP(B35,'[1]Select territorios'!$C:$M,11,0)</f>
        <v>-73.23657</v>
      </c>
      <c r="J35" s="5" t="s">
        <v>58</v>
      </c>
      <c r="K35" s="5">
        <v>1193146338</v>
      </c>
      <c r="L35" s="5">
        <v>3202114923</v>
      </c>
      <c r="M35" s="5" t="s">
        <v>59</v>
      </c>
    </row>
    <row r="36" spans="1:13" ht="15.75" x14ac:dyDescent="0.25">
      <c r="A36" s="3">
        <v>6971</v>
      </c>
      <c r="B36" s="3">
        <v>7030</v>
      </c>
      <c r="C36" s="3" t="s">
        <v>120</v>
      </c>
      <c r="D36" s="3" t="s">
        <v>78</v>
      </c>
      <c r="E36" s="4">
        <v>6975</v>
      </c>
      <c r="F36" s="3" t="s">
        <v>78</v>
      </c>
      <c r="G36" s="3" t="s">
        <v>22</v>
      </c>
      <c r="H36" s="3" t="str">
        <f>VLOOKUP(B36,'[1]Select territorios'!$C:$L,10,0)</f>
        <v>9.9723</v>
      </c>
      <c r="I36" s="3" t="str">
        <f>VLOOKUP(B36,'[1]Select territorios'!$C:$M,11,0)</f>
        <v>-73.8858</v>
      </c>
      <c r="J36" s="5" t="s">
        <v>48</v>
      </c>
      <c r="K36" s="5">
        <v>1064795379</v>
      </c>
      <c r="L36" s="5">
        <v>3104688587</v>
      </c>
      <c r="M36" s="5" t="s">
        <v>49</v>
      </c>
    </row>
    <row r="37" spans="1:13" ht="15.75" x14ac:dyDescent="0.25">
      <c r="A37" s="3">
        <v>6971</v>
      </c>
      <c r="B37" s="3">
        <v>7078</v>
      </c>
      <c r="C37" s="3" t="s">
        <v>121</v>
      </c>
      <c r="D37" s="3" t="s">
        <v>122</v>
      </c>
      <c r="E37" s="4">
        <v>6974</v>
      </c>
      <c r="F37" s="3" t="s">
        <v>123</v>
      </c>
      <c r="G37" s="3" t="s">
        <v>22</v>
      </c>
      <c r="H37" s="3" t="str">
        <f>VLOOKUP(B37,'[1]Select territorios'!$C:$L,10,0)</f>
        <v>9.70359</v>
      </c>
      <c r="I37" s="3" t="str">
        <f>VLOOKUP(B37,'[1]Select territorios'!$C:$M,11,0)</f>
        <v>-73.28087</v>
      </c>
      <c r="J37" s="5" t="s">
        <v>58</v>
      </c>
      <c r="K37" s="5">
        <v>1193146338</v>
      </c>
      <c r="L37" s="5">
        <v>3202114923</v>
      </c>
      <c r="M37" s="5" t="s">
        <v>59</v>
      </c>
    </row>
    <row r="38" spans="1:13" ht="15.75" x14ac:dyDescent="0.25">
      <c r="A38" s="3">
        <v>6971</v>
      </c>
      <c r="B38" s="3">
        <v>11164</v>
      </c>
      <c r="C38" s="3" t="s">
        <v>124</v>
      </c>
      <c r="D38" s="3" t="s">
        <v>125</v>
      </c>
      <c r="E38" s="4">
        <v>6974</v>
      </c>
      <c r="F38" s="3" t="s">
        <v>123</v>
      </c>
      <c r="G38" s="3" t="s">
        <v>27</v>
      </c>
      <c r="H38" s="3" t="str">
        <f>VLOOKUP(B38,'[1]Select territorios'!$C:$L,10,0)</f>
        <v>9.70326</v>
      </c>
      <c r="I38" s="3" t="str">
        <f>VLOOKUP(B38,'[1]Select territorios'!$C:$M,11,0)</f>
        <v>-73.28574</v>
      </c>
      <c r="J38" s="5" t="s">
        <v>58</v>
      </c>
      <c r="K38" s="5">
        <v>1193146338</v>
      </c>
      <c r="L38" s="5">
        <v>3202114923</v>
      </c>
      <c r="M38" s="5" t="s">
        <v>59</v>
      </c>
    </row>
    <row r="39" spans="1:13" ht="15.75" x14ac:dyDescent="0.25">
      <c r="A39" s="3">
        <v>6971</v>
      </c>
      <c r="B39" s="3">
        <v>7102</v>
      </c>
      <c r="C39" s="3" t="s">
        <v>126</v>
      </c>
      <c r="D39" s="3" t="s">
        <v>127</v>
      </c>
      <c r="E39" s="4">
        <v>6973</v>
      </c>
      <c r="F39" s="3" t="s">
        <v>128</v>
      </c>
      <c r="G39" s="3" t="s">
        <v>22</v>
      </c>
      <c r="H39" s="3" t="str">
        <f>VLOOKUP(B39,'[1]Select territorios'!$C:$L,10,0)</f>
        <v>9.4979</v>
      </c>
      <c r="I39" s="3" t="str">
        <f>VLOOKUP(B39,'[1]Select territorios'!$C:$M,11,0)</f>
        <v>-73.9779</v>
      </c>
      <c r="J39" s="5" t="s">
        <v>48</v>
      </c>
      <c r="K39" s="5">
        <v>1064795379</v>
      </c>
      <c r="L39" s="5">
        <v>3104688587</v>
      </c>
      <c r="M39" s="5" t="s">
        <v>49</v>
      </c>
    </row>
    <row r="40" spans="1:13" ht="15.75" x14ac:dyDescent="0.25">
      <c r="A40" s="3">
        <v>6971</v>
      </c>
      <c r="B40" s="3">
        <v>7050</v>
      </c>
      <c r="C40" s="3" t="s">
        <v>129</v>
      </c>
      <c r="D40" s="3" t="s">
        <v>130</v>
      </c>
      <c r="E40" s="4">
        <v>6990</v>
      </c>
      <c r="F40" s="3" t="s">
        <v>131</v>
      </c>
      <c r="G40" s="3" t="s">
        <v>22</v>
      </c>
      <c r="H40" s="3" t="str">
        <f>VLOOKUP(B40,'[1]Select territorios'!$C:$L,10,0)</f>
        <v>8.95657</v>
      </c>
      <c r="I40" s="3" t="str">
        <f>VLOOKUP(B40,'[1]Select territorios'!$C:$M,11,0)</f>
        <v>-73.6241</v>
      </c>
      <c r="J40" s="5" t="s">
        <v>71</v>
      </c>
      <c r="K40" s="5">
        <v>1065818056</v>
      </c>
      <c r="L40" s="5">
        <v>3145467066</v>
      </c>
      <c r="M40" s="5" t="s">
        <v>72</v>
      </c>
    </row>
    <row r="41" spans="1:13" ht="15.75" x14ac:dyDescent="0.25">
      <c r="A41" s="3">
        <v>6971</v>
      </c>
      <c r="B41" s="3">
        <v>8147</v>
      </c>
      <c r="C41" s="3" t="s">
        <v>132</v>
      </c>
      <c r="D41" s="3" t="s">
        <v>133</v>
      </c>
      <c r="E41" s="4">
        <v>45386</v>
      </c>
      <c r="F41" s="3" t="s">
        <v>67</v>
      </c>
      <c r="G41" s="3" t="s">
        <v>16</v>
      </c>
      <c r="H41" s="3" t="str">
        <f>VLOOKUP(B41,'[1]Select territorios'!$C:$L,10,0)</f>
        <v>10.43579521</v>
      </c>
      <c r="I41" s="3" t="str">
        <f>VLOOKUP(B41,'[1]Select territorios'!$C:$M,11,0)</f>
        <v>-73.252902</v>
      </c>
      <c r="J41" s="5" t="s">
        <v>40</v>
      </c>
      <c r="K41" s="5">
        <v>1003275622</v>
      </c>
      <c r="L41" s="5">
        <v>3218847746</v>
      </c>
      <c r="M41" s="5" t="s">
        <v>41</v>
      </c>
    </row>
    <row r="42" spans="1:13" ht="15.75" x14ac:dyDescent="0.25">
      <c r="A42" s="3">
        <v>6971</v>
      </c>
      <c r="B42" s="3">
        <v>16897</v>
      </c>
      <c r="C42" s="3" t="s">
        <v>134</v>
      </c>
      <c r="D42" s="3" t="s">
        <v>135</v>
      </c>
      <c r="E42" s="4">
        <v>8558</v>
      </c>
      <c r="F42" s="3" t="s">
        <v>62</v>
      </c>
      <c r="G42" s="3" t="s">
        <v>16</v>
      </c>
      <c r="H42" s="3" t="str">
        <f>VLOOKUP(B42,'[1]Select territorios'!$C:$L,10,0)</f>
        <v>10.480269</v>
      </c>
      <c r="I42" s="3" t="str">
        <f>VLOOKUP(B42,'[1]Select territorios'!$C:$M,11,0)</f>
        <v>-73.268037</v>
      </c>
      <c r="J42" s="5" t="s">
        <v>23</v>
      </c>
      <c r="K42" s="5">
        <v>1065600058</v>
      </c>
      <c r="L42" s="5">
        <v>3123009293</v>
      </c>
      <c r="M42" s="5" t="s">
        <v>24</v>
      </c>
    </row>
    <row r="43" spans="1:13" ht="15.75" x14ac:dyDescent="0.25">
      <c r="A43" s="3">
        <v>6971</v>
      </c>
      <c r="B43" s="3">
        <v>8144</v>
      </c>
      <c r="C43" s="3" t="s">
        <v>136</v>
      </c>
      <c r="D43" s="3" t="s">
        <v>137</v>
      </c>
      <c r="E43" s="4">
        <v>8554</v>
      </c>
      <c r="F43" s="3" t="s">
        <v>81</v>
      </c>
      <c r="G43" s="3" t="s">
        <v>16</v>
      </c>
      <c r="H43" s="3" t="str">
        <f>VLOOKUP(B43,'[1]Select territorios'!$C:$L,10,0)</f>
        <v>10.4504</v>
      </c>
      <c r="I43" s="3" t="str">
        <f>VLOOKUP(B43,'[1]Select territorios'!$C:$M,11,0)</f>
        <v>-73.2453</v>
      </c>
      <c r="J43" s="5" t="s">
        <v>40</v>
      </c>
      <c r="K43" s="5">
        <v>1003275622</v>
      </c>
      <c r="L43" s="5">
        <v>3218847746</v>
      </c>
      <c r="M43" s="5" t="s">
        <v>41</v>
      </c>
    </row>
    <row r="44" spans="1:13" ht="15.75" x14ac:dyDescent="0.25">
      <c r="A44" s="3">
        <v>6971</v>
      </c>
      <c r="B44" s="3">
        <v>17930</v>
      </c>
      <c r="C44" s="3" t="s">
        <v>138</v>
      </c>
      <c r="D44" s="3" t="s">
        <v>139</v>
      </c>
      <c r="E44" s="4">
        <v>18935</v>
      </c>
      <c r="F44" s="3" t="s">
        <v>44</v>
      </c>
      <c r="G44" s="3" t="s">
        <v>16</v>
      </c>
      <c r="H44" s="3" t="str">
        <f>VLOOKUP(B44,'[1]Select territorios'!$C:$L,10,0)</f>
        <v>10.4618</v>
      </c>
      <c r="I44" s="3" t="str">
        <f>VLOOKUP(B44,'[1]Select territorios'!$C:$M,11,0)</f>
        <v>-73.2514</v>
      </c>
      <c r="J44" s="5" t="s">
        <v>40</v>
      </c>
      <c r="K44" s="5">
        <v>1003275622</v>
      </c>
      <c r="L44" s="5">
        <v>3218847746</v>
      </c>
      <c r="M44" s="5" t="s">
        <v>41</v>
      </c>
    </row>
    <row r="45" spans="1:13" ht="15.75" x14ac:dyDescent="0.25">
      <c r="A45" s="3">
        <v>6971</v>
      </c>
      <c r="B45" s="3">
        <v>8164</v>
      </c>
      <c r="C45" s="3" t="s">
        <v>140</v>
      </c>
      <c r="D45" s="3" t="s">
        <v>141</v>
      </c>
      <c r="E45" s="4">
        <v>8556</v>
      </c>
      <c r="F45" s="3" t="s">
        <v>36</v>
      </c>
      <c r="G45" s="3" t="s">
        <v>27</v>
      </c>
      <c r="H45" s="3" t="str">
        <f>VLOOKUP(B45,'[1]Select territorios'!$C:$L,10,0)</f>
        <v>10.475</v>
      </c>
      <c r="I45" s="3" t="str">
        <f>VLOOKUP(B45,'[1]Select territorios'!$C:$M,11,0)</f>
        <v>-73.2442</v>
      </c>
      <c r="J45" s="5" t="s">
        <v>23</v>
      </c>
      <c r="K45" s="5">
        <v>1065600058</v>
      </c>
      <c r="L45" s="5">
        <v>3123009293</v>
      </c>
      <c r="M45" s="5" t="s">
        <v>24</v>
      </c>
    </row>
    <row r="46" spans="1:13" ht="15.75" x14ac:dyDescent="0.25">
      <c r="A46" s="3">
        <v>6971</v>
      </c>
      <c r="B46" s="3">
        <v>8359</v>
      </c>
      <c r="C46" s="3" t="s">
        <v>142</v>
      </c>
      <c r="D46" s="3" t="s">
        <v>143</v>
      </c>
      <c r="E46" s="4">
        <v>8553</v>
      </c>
      <c r="F46" s="3" t="s">
        <v>15</v>
      </c>
      <c r="G46" s="3" t="s">
        <v>16</v>
      </c>
      <c r="H46" s="3" t="str">
        <f>VLOOKUP(B46,'[1]Select territorios'!$C:$L,10,0)</f>
        <v>10.475715</v>
      </c>
      <c r="I46" s="3" t="str">
        <f>VLOOKUP(B46,'[1]Select territorios'!$C:$M,11,0)</f>
        <v>-73.287138</v>
      </c>
      <c r="J46" s="5" t="s">
        <v>17</v>
      </c>
      <c r="K46" s="5">
        <v>15173890</v>
      </c>
      <c r="L46" s="5">
        <v>3002039991</v>
      </c>
      <c r="M46" s="5" t="s">
        <v>18</v>
      </c>
    </row>
    <row r="47" spans="1:13" ht="15.75" x14ac:dyDescent="0.25">
      <c r="A47" s="3">
        <v>6971</v>
      </c>
      <c r="B47" s="3">
        <v>8349</v>
      </c>
      <c r="C47" s="3" t="s">
        <v>144</v>
      </c>
      <c r="D47" s="3" t="s">
        <v>145</v>
      </c>
      <c r="E47" s="4">
        <v>8554</v>
      </c>
      <c r="F47" s="3" t="s">
        <v>67</v>
      </c>
      <c r="G47" s="3" t="s">
        <v>16</v>
      </c>
      <c r="H47" s="3" t="str">
        <f>VLOOKUP(B47,'[1]Select territorios'!$C:$L,10,0)</f>
        <v>10.225681</v>
      </c>
      <c r="I47" s="3" t="str">
        <f>VLOOKUP(B47,'[1]Select territorios'!$C:$M,11,0)</f>
        <v>-73.490436</v>
      </c>
      <c r="J47" s="5" t="s">
        <v>40</v>
      </c>
      <c r="K47" s="5">
        <v>1003275622</v>
      </c>
      <c r="L47" s="5">
        <v>3218847746</v>
      </c>
      <c r="M47" s="5" t="s">
        <v>41</v>
      </c>
    </row>
    <row r="48" spans="1:13" ht="15.75" x14ac:dyDescent="0.25">
      <c r="A48" s="3">
        <v>6971</v>
      </c>
      <c r="B48" s="3">
        <v>7046</v>
      </c>
      <c r="C48" s="3" t="s">
        <v>146</v>
      </c>
      <c r="D48" s="3" t="s">
        <v>147</v>
      </c>
      <c r="E48" s="4">
        <v>6991</v>
      </c>
      <c r="F48" s="3" t="s">
        <v>70</v>
      </c>
      <c r="G48" s="3" t="s">
        <v>22</v>
      </c>
      <c r="H48" s="3" t="str">
        <f>VLOOKUP(B48,'[1]Select territorios'!$C:$L,10,0)</f>
        <v>8.690177</v>
      </c>
      <c r="I48" s="3" t="str">
        <f>VLOOKUP(B48,'[1]Select territorios'!$C:$M,11,0)</f>
        <v>-73.663931</v>
      </c>
      <c r="J48" s="5" t="s">
        <v>71</v>
      </c>
      <c r="K48" s="5">
        <v>1065818056</v>
      </c>
      <c r="L48" s="5">
        <v>3145467066</v>
      </c>
      <c r="M48" s="5" t="s">
        <v>72</v>
      </c>
    </row>
    <row r="49" spans="1:13" ht="15.75" x14ac:dyDescent="0.25">
      <c r="A49" s="3">
        <v>6971</v>
      </c>
      <c r="B49" s="3">
        <v>7231</v>
      </c>
      <c r="C49" s="3" t="s">
        <v>148</v>
      </c>
      <c r="D49" s="3" t="s">
        <v>149</v>
      </c>
      <c r="E49" s="4">
        <v>6990</v>
      </c>
      <c r="F49" s="3" t="s">
        <v>131</v>
      </c>
      <c r="G49" s="3" t="s">
        <v>16</v>
      </c>
      <c r="H49" s="3" t="str">
        <f>VLOOKUP(B49,'[1]Select territorios'!$C:$L,10,0)</f>
        <v>8.0792708</v>
      </c>
      <c r="I49" s="3" t="str">
        <f>VLOOKUP(B49,'[1]Select territorios'!$C:$M,11,0)</f>
        <v>-73.6509697</v>
      </c>
      <c r="J49" s="5" t="s">
        <v>71</v>
      </c>
      <c r="K49" s="5">
        <v>1065818056</v>
      </c>
      <c r="L49" s="5">
        <v>3145467066</v>
      </c>
      <c r="M49" s="5" t="s">
        <v>72</v>
      </c>
    </row>
    <row r="50" spans="1:13" ht="15.75" x14ac:dyDescent="0.25">
      <c r="A50" s="3">
        <v>6971</v>
      </c>
      <c r="B50" s="3">
        <v>7206</v>
      </c>
      <c r="C50" s="3" t="s">
        <v>150</v>
      </c>
      <c r="D50" s="3" t="s">
        <v>151</v>
      </c>
      <c r="E50" s="4">
        <v>20329</v>
      </c>
      <c r="F50" s="3" t="s">
        <v>152</v>
      </c>
      <c r="G50" s="3" t="s">
        <v>27</v>
      </c>
      <c r="H50" s="3" t="str">
        <f>VLOOKUP(B50,'[1]Select territorios'!$C:$L,10,0)</f>
        <v>9.8265</v>
      </c>
      <c r="I50" s="3" t="str">
        <f>VLOOKUP(B50,'[1]Select territorios'!$C:$M,11,0)</f>
        <v>-73.26622</v>
      </c>
      <c r="J50" s="5" t="s">
        <v>58</v>
      </c>
      <c r="K50" s="5">
        <v>1193146338</v>
      </c>
      <c r="L50" s="5">
        <v>3202114923</v>
      </c>
      <c r="M50" s="5" t="s">
        <v>59</v>
      </c>
    </row>
    <row r="51" spans="1:13" ht="15.75" x14ac:dyDescent="0.25">
      <c r="A51" s="3">
        <v>6971</v>
      </c>
      <c r="B51" s="3">
        <v>7229</v>
      </c>
      <c r="C51" s="3" t="s">
        <v>153</v>
      </c>
      <c r="D51" s="3" t="s">
        <v>154</v>
      </c>
      <c r="E51" s="4">
        <v>6978</v>
      </c>
      <c r="F51" s="3" t="s">
        <v>91</v>
      </c>
      <c r="G51" s="3" t="s">
        <v>16</v>
      </c>
      <c r="H51" s="3" t="str">
        <f>VLOOKUP(B51,'[1]Select territorios'!$C:$L,10,0)</f>
        <v>10.03939</v>
      </c>
      <c r="I51" s="3" t="str">
        <f>VLOOKUP(B51,'[1]Select territorios'!$C:$M,11,0)</f>
        <v>-73.23747</v>
      </c>
      <c r="J51" s="5" t="s">
        <v>58</v>
      </c>
      <c r="K51" s="5">
        <v>1193146338</v>
      </c>
      <c r="L51" s="5">
        <v>3202114923</v>
      </c>
      <c r="M51" s="5" t="s">
        <v>59</v>
      </c>
    </row>
    <row r="52" spans="1:13" ht="15.75" x14ac:dyDescent="0.25">
      <c r="A52" s="3">
        <v>6971</v>
      </c>
      <c r="B52" s="3">
        <v>9180</v>
      </c>
      <c r="C52" s="3" t="s">
        <v>155</v>
      </c>
      <c r="D52" s="3" t="s">
        <v>156</v>
      </c>
      <c r="E52" s="4">
        <v>6975</v>
      </c>
      <c r="F52" s="3" t="s">
        <v>78</v>
      </c>
      <c r="G52" s="3" t="s">
        <v>16</v>
      </c>
      <c r="H52" s="3" t="str">
        <f>VLOOKUP(B52,'[1]Select territorios'!$C:$L,10,0)</f>
        <v>9.9771</v>
      </c>
      <c r="I52" s="3" t="str">
        <f>VLOOKUP(B52,'[1]Select territorios'!$C:$M,11,0)</f>
        <v>-73.8815</v>
      </c>
      <c r="J52" s="5" t="s">
        <v>48</v>
      </c>
      <c r="K52" s="5">
        <v>1064795379</v>
      </c>
      <c r="L52" s="5">
        <v>3104688587</v>
      </c>
      <c r="M52" s="5" t="s">
        <v>49</v>
      </c>
    </row>
    <row r="53" spans="1:13" ht="15.75" x14ac:dyDescent="0.25">
      <c r="A53" s="3">
        <v>6971</v>
      </c>
      <c r="B53" s="3">
        <v>8119</v>
      </c>
      <c r="C53" s="3" t="s">
        <v>157</v>
      </c>
      <c r="D53" s="3" t="s">
        <v>158</v>
      </c>
      <c r="E53" s="4">
        <v>6974</v>
      </c>
      <c r="F53" s="3" t="s">
        <v>123</v>
      </c>
      <c r="G53" s="3" t="s">
        <v>27</v>
      </c>
      <c r="H53" s="3" t="str">
        <f>VLOOKUP(B53,'[1]Select territorios'!$C:$L,10,0)</f>
        <v>9.70949</v>
      </c>
      <c r="I53" s="3" t="str">
        <f>VLOOKUP(B53,'[1]Select territorios'!$C:$M,11,0)</f>
        <v>-73.28004</v>
      </c>
      <c r="J53" s="5" t="s">
        <v>58</v>
      </c>
      <c r="K53" s="5">
        <v>1193146338</v>
      </c>
      <c r="L53" s="5">
        <v>3202114923</v>
      </c>
      <c r="M53" s="5" t="s">
        <v>59</v>
      </c>
    </row>
    <row r="54" spans="1:13" ht="15.75" x14ac:dyDescent="0.25">
      <c r="A54" s="3">
        <v>6971</v>
      </c>
      <c r="B54" s="3">
        <v>7199</v>
      </c>
      <c r="C54" s="3" t="s">
        <v>159</v>
      </c>
      <c r="D54" s="3" t="s">
        <v>160</v>
      </c>
      <c r="E54" s="4">
        <v>8560</v>
      </c>
      <c r="F54" s="3" t="s">
        <v>161</v>
      </c>
      <c r="G54" s="3" t="s">
        <v>16</v>
      </c>
      <c r="H54" s="3" t="str">
        <f>VLOOKUP(B54,'[1]Select territorios'!$C:$L,10,0)</f>
        <v>8.315847</v>
      </c>
      <c r="I54" s="3" t="str">
        <f>VLOOKUP(B54,'[1]Select territorios'!$C:$M,11,0)</f>
        <v>-73.596854</v>
      </c>
      <c r="J54" s="5" t="s">
        <v>107</v>
      </c>
      <c r="K54" s="5">
        <v>1005281494</v>
      </c>
      <c r="L54" s="5">
        <v>3158541035</v>
      </c>
      <c r="M54" s="5" t="s">
        <v>108</v>
      </c>
    </row>
    <row r="55" spans="1:13" ht="15.75" x14ac:dyDescent="0.25">
      <c r="A55" s="3">
        <v>6971</v>
      </c>
      <c r="B55" s="3">
        <v>7233</v>
      </c>
      <c r="C55" s="3" t="s">
        <v>162</v>
      </c>
      <c r="D55" s="3" t="s">
        <v>163</v>
      </c>
      <c r="E55" s="4">
        <v>8560</v>
      </c>
      <c r="F55" s="3" t="s">
        <v>161</v>
      </c>
      <c r="G55" s="3" t="s">
        <v>16</v>
      </c>
      <c r="H55" s="3" t="str">
        <f>VLOOKUP(B55,'[1]Select territorios'!$C:$L,10,0)</f>
        <v>8.319767</v>
      </c>
      <c r="I55" s="3" t="str">
        <f>VLOOKUP(B55,'[1]Select territorios'!$C:$M,11,0)</f>
        <v>-73.5978185</v>
      </c>
      <c r="J55" s="5" t="s">
        <v>107</v>
      </c>
      <c r="K55" s="5">
        <v>1005281494</v>
      </c>
      <c r="L55" s="5">
        <v>3158541035</v>
      </c>
      <c r="M55" s="5" t="s">
        <v>108</v>
      </c>
    </row>
    <row r="56" spans="1:13" ht="15.75" x14ac:dyDescent="0.25">
      <c r="A56" s="3">
        <v>6971</v>
      </c>
      <c r="B56" s="3">
        <v>8079</v>
      </c>
      <c r="C56" s="3" t="s">
        <v>164</v>
      </c>
      <c r="D56" s="3" t="s">
        <v>165</v>
      </c>
      <c r="E56" s="4">
        <v>8560</v>
      </c>
      <c r="F56" s="3" t="s">
        <v>161</v>
      </c>
      <c r="G56" s="3" t="s">
        <v>16</v>
      </c>
      <c r="H56" s="3" t="str">
        <f>VLOOKUP(B56,'[1]Select territorios'!$C:$L,10,0)</f>
        <v>8.3076088</v>
      </c>
      <c r="I56" s="3" t="str">
        <f>VLOOKUP(B56,'[1]Select territorios'!$C:$M,11,0)</f>
        <v>-73.597888</v>
      </c>
      <c r="J56" s="5" t="s">
        <v>107</v>
      </c>
      <c r="K56" s="5">
        <v>1005281494</v>
      </c>
      <c r="L56" s="5">
        <v>3158541035</v>
      </c>
      <c r="M56" s="5" t="s">
        <v>108</v>
      </c>
    </row>
    <row r="57" spans="1:13" ht="15.75" x14ac:dyDescent="0.25">
      <c r="A57" s="3">
        <v>6971</v>
      </c>
      <c r="B57" s="3">
        <v>7200</v>
      </c>
      <c r="C57" s="3" t="s">
        <v>166</v>
      </c>
      <c r="D57" s="3" t="s">
        <v>167</v>
      </c>
      <c r="E57" s="4">
        <v>8561</v>
      </c>
      <c r="F57" s="3" t="s">
        <v>168</v>
      </c>
      <c r="G57" s="3" t="s">
        <v>16</v>
      </c>
      <c r="H57" s="3" t="str">
        <f>VLOOKUP(B57,'[1]Select territorios'!$C:$L,10,0)</f>
        <v>8.30987</v>
      </c>
      <c r="I57" s="3" t="str">
        <f>VLOOKUP(B57,'[1]Select territorios'!$C:$M,11,0)</f>
        <v>-73.61431</v>
      </c>
      <c r="J57" s="5" t="s">
        <v>107</v>
      </c>
      <c r="K57" s="5">
        <v>1005281494</v>
      </c>
      <c r="L57" s="5">
        <v>3158541035</v>
      </c>
      <c r="M57" s="5" t="s">
        <v>108</v>
      </c>
    </row>
    <row r="58" spans="1:13" ht="15.75" x14ac:dyDescent="0.25">
      <c r="A58" s="3">
        <v>6971</v>
      </c>
      <c r="B58" s="3">
        <v>8098</v>
      </c>
      <c r="C58" s="3" t="s">
        <v>169</v>
      </c>
      <c r="D58" s="3" t="s">
        <v>170</v>
      </c>
      <c r="E58" s="4">
        <v>8561</v>
      </c>
      <c r="F58" s="3" t="s">
        <v>168</v>
      </c>
      <c r="G58" s="3" t="s">
        <v>16</v>
      </c>
      <c r="H58" s="3" t="str">
        <f>VLOOKUP(B58,'[1]Select territorios'!$C:$L,10,0)</f>
        <v>8.306933</v>
      </c>
      <c r="I58" s="3" t="str">
        <f>VLOOKUP(B58,'[1]Select territorios'!$C:$M,11,0)</f>
        <v>-73.613579</v>
      </c>
      <c r="J58" s="5" t="s">
        <v>107</v>
      </c>
      <c r="K58" s="5">
        <v>1005281494</v>
      </c>
      <c r="L58" s="5">
        <v>3158541035</v>
      </c>
      <c r="M58" s="5" t="s">
        <v>108</v>
      </c>
    </row>
    <row r="59" spans="1:13" ht="15.75" x14ac:dyDescent="0.25">
      <c r="A59" s="3">
        <v>6971</v>
      </c>
      <c r="B59" s="3">
        <v>8149</v>
      </c>
      <c r="C59" s="3" t="s">
        <v>171</v>
      </c>
      <c r="D59" s="3" t="s">
        <v>172</v>
      </c>
      <c r="E59" s="4">
        <v>6972</v>
      </c>
      <c r="F59" s="3" t="s">
        <v>173</v>
      </c>
      <c r="G59" s="3" t="s">
        <v>16</v>
      </c>
      <c r="H59" s="3" t="str">
        <f>VLOOKUP(B59,'[1]Select territorios'!$C:$L,10,0)</f>
        <v>8.310962</v>
      </c>
      <c r="I59" s="3" t="str">
        <f>VLOOKUP(B59,'[1]Select territorios'!$C:$M,11,0)</f>
        <v>-73.6100061</v>
      </c>
      <c r="J59" s="5" t="s">
        <v>71</v>
      </c>
      <c r="K59" s="5">
        <v>1065818056</v>
      </c>
      <c r="L59" s="5">
        <v>3145467066</v>
      </c>
      <c r="M59" s="5" t="s">
        <v>72</v>
      </c>
    </row>
    <row r="60" spans="1:13" ht="15.75" x14ac:dyDescent="0.25">
      <c r="A60" s="3">
        <v>6971</v>
      </c>
      <c r="B60" s="3">
        <v>9190</v>
      </c>
      <c r="C60" s="3" t="s">
        <v>174</v>
      </c>
      <c r="D60" s="3" t="s">
        <v>175</v>
      </c>
      <c r="E60" s="4">
        <v>8552</v>
      </c>
      <c r="F60" s="3" t="s">
        <v>30</v>
      </c>
      <c r="G60" s="3" t="s">
        <v>16</v>
      </c>
      <c r="H60" s="3" t="str">
        <f>VLOOKUP(B60,'[1]Select territorios'!$C:$L,10,0)</f>
        <v>10.4675</v>
      </c>
      <c r="I60" s="3" t="str">
        <f>VLOOKUP(B60,'[1]Select territorios'!$C:$M,11,0)</f>
        <v>-73.26006</v>
      </c>
      <c r="J60" s="5" t="s">
        <v>17</v>
      </c>
      <c r="K60" s="5">
        <v>15173890</v>
      </c>
      <c r="L60" s="5">
        <v>3002039991</v>
      </c>
      <c r="M60" s="5" t="s">
        <v>18</v>
      </c>
    </row>
    <row r="61" spans="1:13" ht="15.75" x14ac:dyDescent="0.25">
      <c r="A61" s="3">
        <v>6971</v>
      </c>
      <c r="B61" s="3">
        <v>7197</v>
      </c>
      <c r="C61" s="3" t="s">
        <v>176</v>
      </c>
      <c r="D61" s="3" t="s">
        <v>177</v>
      </c>
      <c r="E61" s="4">
        <v>9206</v>
      </c>
      <c r="F61" s="3" t="s">
        <v>33</v>
      </c>
      <c r="G61" s="3" t="s">
        <v>16</v>
      </c>
      <c r="H61" s="3" t="str">
        <f>VLOOKUP(B61,'[1]Select territorios'!$C:$L,10,0)</f>
        <v>10.452573</v>
      </c>
      <c r="I61" s="3" t="str">
        <f>VLOOKUP(B61,'[1]Select territorios'!$C:$M,11,0)</f>
        <v>-73.258834</v>
      </c>
      <c r="J61" s="5" t="s">
        <v>17</v>
      </c>
      <c r="K61" s="5">
        <v>15173890</v>
      </c>
      <c r="L61" s="5">
        <v>3002039991</v>
      </c>
      <c r="M61" s="5" t="s">
        <v>18</v>
      </c>
    </row>
    <row r="62" spans="1:13" ht="15.75" x14ac:dyDescent="0.25">
      <c r="A62" s="3">
        <v>6971</v>
      </c>
      <c r="B62" s="3">
        <v>7213</v>
      </c>
      <c r="C62" s="3" t="s">
        <v>178</v>
      </c>
      <c r="D62" s="3" t="s">
        <v>179</v>
      </c>
      <c r="E62" s="4">
        <v>6998</v>
      </c>
      <c r="F62" s="3" t="s">
        <v>106</v>
      </c>
      <c r="G62" s="3" t="s">
        <v>27</v>
      </c>
      <c r="H62" s="3" t="str">
        <f>VLOOKUP(B62,'[1]Select territorios'!$C:$L,10,0)</f>
        <v>8.002213</v>
      </c>
      <c r="I62" s="3" t="str">
        <f>VLOOKUP(B62,'[1]Select territorios'!$C:$M,11,0)</f>
        <v>-73.51302166</v>
      </c>
      <c r="J62" s="5" t="s">
        <v>107</v>
      </c>
      <c r="K62" s="5">
        <v>1005281494</v>
      </c>
      <c r="L62" s="5">
        <v>3158541035</v>
      </c>
      <c r="M62" s="5" t="s">
        <v>108</v>
      </c>
    </row>
    <row r="63" spans="1:13" ht="15.75" x14ac:dyDescent="0.25">
      <c r="A63" s="3">
        <v>6971</v>
      </c>
      <c r="B63" s="3">
        <v>8206</v>
      </c>
      <c r="C63" s="3" t="s">
        <v>180</v>
      </c>
      <c r="D63" s="3" t="s">
        <v>181</v>
      </c>
      <c r="E63" s="4">
        <v>8553</v>
      </c>
      <c r="F63" s="3" t="s">
        <v>15</v>
      </c>
      <c r="G63" s="3" t="s">
        <v>16</v>
      </c>
      <c r="H63" s="3" t="str">
        <f>VLOOKUP(B63,'[1]Select territorios'!$C:$L,10,0)</f>
        <v>10.475643</v>
      </c>
      <c r="I63" s="3" t="str">
        <f>VLOOKUP(B63,'[1]Select territorios'!$C:$M,11,0)</f>
        <v>-73.27845</v>
      </c>
      <c r="J63" s="5" t="s">
        <v>17</v>
      </c>
      <c r="K63" s="5">
        <v>15173890</v>
      </c>
      <c r="L63" s="5">
        <v>3002039991</v>
      </c>
      <c r="M63" s="5" t="s">
        <v>18</v>
      </c>
    </row>
    <row r="64" spans="1:13" ht="15.75" x14ac:dyDescent="0.25">
      <c r="A64" s="3">
        <v>6971</v>
      </c>
      <c r="B64" s="3">
        <v>8358</v>
      </c>
      <c r="C64" s="3" t="s">
        <v>182</v>
      </c>
      <c r="D64" s="3" t="s">
        <v>183</v>
      </c>
      <c r="E64" s="4">
        <v>8553</v>
      </c>
      <c r="F64" s="3" t="s">
        <v>15</v>
      </c>
      <c r="G64" s="3" t="s">
        <v>16</v>
      </c>
      <c r="H64" s="3" t="str">
        <f>VLOOKUP(B64,'[1]Select territorios'!$C:$L,10,0)</f>
        <v>10.4795116</v>
      </c>
      <c r="I64" s="3" t="str">
        <f>VLOOKUP(B64,'[1]Select territorios'!$C:$M,11,0)</f>
        <v>-73.288231</v>
      </c>
      <c r="J64" s="5" t="s">
        <v>17</v>
      </c>
      <c r="K64" s="5">
        <v>15173890</v>
      </c>
      <c r="L64" s="5">
        <v>3002039991</v>
      </c>
      <c r="M64" s="5" t="s">
        <v>18</v>
      </c>
    </row>
    <row r="65" spans="1:13" ht="15.75" x14ac:dyDescent="0.25">
      <c r="A65" s="3">
        <v>6971</v>
      </c>
      <c r="B65" s="3">
        <v>9047</v>
      </c>
      <c r="C65" s="3" t="s">
        <v>184</v>
      </c>
      <c r="D65" s="3" t="s">
        <v>185</v>
      </c>
      <c r="E65" s="4">
        <v>17191</v>
      </c>
      <c r="F65" s="3" t="s">
        <v>186</v>
      </c>
      <c r="G65" s="3" t="s">
        <v>16</v>
      </c>
      <c r="H65" s="3" t="str">
        <f>VLOOKUP(B65,'[1]Select territorios'!$C:$L,10,0)</f>
        <v>10.469483</v>
      </c>
      <c r="I65" s="3" t="str">
        <f>VLOOKUP(B65,'[1]Select territorios'!$C:$M,11,0)</f>
        <v>-73.279197</v>
      </c>
      <c r="J65" s="5" t="s">
        <v>17</v>
      </c>
      <c r="K65" s="5">
        <v>15173890</v>
      </c>
      <c r="L65" s="5">
        <v>3002039991</v>
      </c>
      <c r="M65" s="5" t="s">
        <v>18</v>
      </c>
    </row>
    <row r="66" spans="1:13" ht="15.75" x14ac:dyDescent="0.25">
      <c r="A66" s="3">
        <v>6971</v>
      </c>
      <c r="B66" s="3">
        <v>8263</v>
      </c>
      <c r="C66" s="3" t="s">
        <v>187</v>
      </c>
      <c r="D66" s="3" t="s">
        <v>188</v>
      </c>
      <c r="E66" s="4">
        <v>17176</v>
      </c>
      <c r="F66" s="3" t="s">
        <v>189</v>
      </c>
      <c r="G66" s="3" t="s">
        <v>16</v>
      </c>
      <c r="H66" s="3" t="str">
        <f>VLOOKUP(B66,'[1]Select territorios'!$C:$L,10,0)</f>
        <v>10.4562</v>
      </c>
      <c r="I66" s="3" t="str">
        <f>VLOOKUP(B66,'[1]Select territorios'!$C:$M,11,0)</f>
        <v>-73.2404</v>
      </c>
      <c r="J66" s="5" t="s">
        <v>40</v>
      </c>
      <c r="K66" s="5">
        <v>1003275622</v>
      </c>
      <c r="L66" s="5">
        <v>3218847746</v>
      </c>
      <c r="M66" s="5" t="s">
        <v>41</v>
      </c>
    </row>
    <row r="67" spans="1:13" ht="15.75" x14ac:dyDescent="0.25">
      <c r="A67" s="3">
        <v>6971</v>
      </c>
      <c r="B67" s="3">
        <v>16889</v>
      </c>
      <c r="C67" s="3" t="s">
        <v>190</v>
      </c>
      <c r="D67" s="3" t="s">
        <v>191</v>
      </c>
      <c r="E67" s="4">
        <v>6996</v>
      </c>
      <c r="F67" s="3" t="s">
        <v>113</v>
      </c>
      <c r="G67" s="3" t="s">
        <v>16</v>
      </c>
      <c r="H67" s="3" t="str">
        <f>VLOOKUP(B67,'[1]Select territorios'!$C:$L,10,0)</f>
        <v>7.761401</v>
      </c>
      <c r="I67" s="3" t="str">
        <f>VLOOKUP(B67,'[1]Select territorios'!$C:$M,11,0)</f>
        <v>-73.38977</v>
      </c>
      <c r="J67" s="5" t="s">
        <v>107</v>
      </c>
      <c r="K67" s="5">
        <v>1005281494</v>
      </c>
      <c r="L67" s="5">
        <v>3158541035</v>
      </c>
      <c r="M67" s="5" t="s">
        <v>108</v>
      </c>
    </row>
    <row r="68" spans="1:13" ht="15.75" x14ac:dyDescent="0.25">
      <c r="A68" s="3">
        <v>6971</v>
      </c>
      <c r="B68" s="3">
        <v>8373</v>
      </c>
      <c r="C68" s="3" t="s">
        <v>192</v>
      </c>
      <c r="D68" s="3" t="s">
        <v>193</v>
      </c>
      <c r="E68" s="4">
        <v>6984</v>
      </c>
      <c r="F68" s="3" t="s">
        <v>75</v>
      </c>
      <c r="G68" s="3" t="s">
        <v>27</v>
      </c>
      <c r="H68" s="3" t="str">
        <f>VLOOKUP(B68,'[1]Select territorios'!$C:$L,10,0)</f>
        <v>8.610637</v>
      </c>
      <c r="I68" s="3" t="str">
        <f>VLOOKUP(B68,'[1]Select territorios'!$C:$M,11,0)</f>
        <v>-73.732221</v>
      </c>
      <c r="J68" s="5" t="s">
        <v>71</v>
      </c>
      <c r="K68" s="5">
        <v>1065818056</v>
      </c>
      <c r="L68" s="5">
        <v>3145467066</v>
      </c>
      <c r="M68" s="5" t="s">
        <v>72</v>
      </c>
    </row>
    <row r="69" spans="1:13" ht="15.75" x14ac:dyDescent="0.25">
      <c r="A69" s="3">
        <v>6971</v>
      </c>
      <c r="B69" s="3">
        <v>8284</v>
      </c>
      <c r="C69" s="3" t="s">
        <v>194</v>
      </c>
      <c r="D69" s="3" t="s">
        <v>195</v>
      </c>
      <c r="E69" s="4">
        <v>45388</v>
      </c>
      <c r="F69" s="3" t="s">
        <v>196</v>
      </c>
      <c r="G69" s="3" t="s">
        <v>16</v>
      </c>
      <c r="H69" s="3" t="str">
        <f>VLOOKUP(B69,'[1]Select territorios'!$C:$L,10,0)</f>
        <v>9.9714</v>
      </c>
      <c r="I69" s="3" t="str">
        <f>VLOOKUP(B69,'[1]Select territorios'!$C:$M,11,0)</f>
        <v>-73.8882</v>
      </c>
      <c r="J69" s="5" t="s">
        <v>48</v>
      </c>
      <c r="K69" s="5">
        <v>1064795379</v>
      </c>
      <c r="L69" s="5">
        <v>3104688587</v>
      </c>
      <c r="M69" s="5" t="s">
        <v>49</v>
      </c>
    </row>
    <row r="70" spans="1:13" ht="15.75" x14ac:dyDescent="0.25">
      <c r="A70" s="3">
        <v>6971</v>
      </c>
      <c r="B70" s="3">
        <v>8150</v>
      </c>
      <c r="C70" s="3" t="s">
        <v>197</v>
      </c>
      <c r="D70" s="3" t="s">
        <v>198</v>
      </c>
      <c r="E70" s="4">
        <v>8560</v>
      </c>
      <c r="F70" s="3" t="s">
        <v>161</v>
      </c>
      <c r="G70" s="3" t="s">
        <v>16</v>
      </c>
      <c r="H70" s="3" t="str">
        <f>VLOOKUP(B70,'[1]Select territorios'!$C:$L,10,0)</f>
        <v>8.3133958</v>
      </c>
      <c r="I70" s="3" t="str">
        <f>VLOOKUP(B70,'[1]Select territorios'!$C:$M,11,0)</f>
        <v>-73.6101715</v>
      </c>
      <c r="J70" s="5" t="s">
        <v>107</v>
      </c>
      <c r="K70" s="5">
        <v>1005281494</v>
      </c>
      <c r="L70" s="5">
        <v>3158541035</v>
      </c>
      <c r="M70" s="5" t="s">
        <v>108</v>
      </c>
    </row>
    <row r="71" spans="1:13" ht="15.75" x14ac:dyDescent="0.25">
      <c r="A71" s="3">
        <v>6971</v>
      </c>
      <c r="B71" s="3">
        <v>18210</v>
      </c>
      <c r="C71" s="3" t="s">
        <v>199</v>
      </c>
      <c r="D71" s="3" t="s">
        <v>200</v>
      </c>
      <c r="E71" s="4">
        <v>6972</v>
      </c>
      <c r="F71" s="3" t="s">
        <v>173</v>
      </c>
      <c r="G71" s="3" t="s">
        <v>16</v>
      </c>
      <c r="H71" s="3" t="str">
        <f>VLOOKUP(B71,'[1]Select territorios'!$C:$L,10,0)</f>
        <v>8.309666666</v>
      </c>
      <c r="I71" s="3" t="str">
        <f>VLOOKUP(B71,'[1]Select territorios'!$C:$M,11,0)</f>
        <v>-73.60415361</v>
      </c>
      <c r="J71" s="5" t="s">
        <v>71</v>
      </c>
      <c r="K71" s="5">
        <v>1065818056</v>
      </c>
      <c r="L71" s="5">
        <v>3145467066</v>
      </c>
      <c r="M71" s="5" t="s">
        <v>72</v>
      </c>
    </row>
    <row r="72" spans="1:13" ht="15.75" x14ac:dyDescent="0.25">
      <c r="A72" s="3">
        <v>6971</v>
      </c>
      <c r="B72" s="3">
        <v>8138</v>
      </c>
      <c r="C72" s="3" t="s">
        <v>201</v>
      </c>
      <c r="D72" s="3" t="s">
        <v>202</v>
      </c>
      <c r="E72" s="4">
        <v>8552</v>
      </c>
      <c r="F72" s="3" t="s">
        <v>30</v>
      </c>
      <c r="G72" s="3" t="s">
        <v>27</v>
      </c>
      <c r="H72" s="3" t="str">
        <f>VLOOKUP(B72,'[1]Select territorios'!$C:$L,10,0)</f>
        <v>10.459081</v>
      </c>
      <c r="I72" s="3" t="str">
        <f>VLOOKUP(B72,'[1]Select territorios'!$C:$M,11,0)</f>
        <v>-73.255433</v>
      </c>
      <c r="J72" s="5" t="s">
        <v>17</v>
      </c>
      <c r="K72" s="5">
        <v>15173890</v>
      </c>
      <c r="L72" s="5">
        <v>3002039991</v>
      </c>
      <c r="M72" s="5" t="s">
        <v>18</v>
      </c>
    </row>
    <row r="73" spans="1:13" ht="15.75" x14ac:dyDescent="0.25">
      <c r="A73" s="3">
        <v>6971</v>
      </c>
      <c r="B73" s="3">
        <v>9163</v>
      </c>
      <c r="C73" s="3" t="s">
        <v>203</v>
      </c>
      <c r="D73" s="3" t="s">
        <v>204</v>
      </c>
      <c r="E73" s="4">
        <v>18936</v>
      </c>
      <c r="F73" s="3" t="s">
        <v>21</v>
      </c>
      <c r="G73" s="3" t="s">
        <v>27</v>
      </c>
      <c r="H73" s="3" t="str">
        <f>VLOOKUP(B73,'[1]Select territorios'!$C:$L,10,0)</f>
        <v>10.705703</v>
      </c>
      <c r="I73" s="3" t="str">
        <f>VLOOKUP(B73,'[1]Select territorios'!$C:$M,11,0)</f>
        <v>-73.211944</v>
      </c>
      <c r="J73" s="5" t="s">
        <v>23</v>
      </c>
      <c r="K73" s="5">
        <v>1065600058</v>
      </c>
      <c r="L73" s="5">
        <v>3123009293</v>
      </c>
      <c r="M73" s="5" t="s">
        <v>24</v>
      </c>
    </row>
    <row r="74" spans="1:13" ht="15.75" x14ac:dyDescent="0.25">
      <c r="A74" s="3">
        <v>6971</v>
      </c>
      <c r="B74" s="3">
        <v>8351</v>
      </c>
      <c r="C74" s="3" t="s">
        <v>205</v>
      </c>
      <c r="D74" s="3" t="s">
        <v>206</v>
      </c>
      <c r="E74" s="4">
        <v>8554</v>
      </c>
      <c r="F74" s="3" t="s">
        <v>81</v>
      </c>
      <c r="G74" s="3" t="s">
        <v>16</v>
      </c>
      <c r="H74" s="3" t="str">
        <f>VLOOKUP(B74,'[1]Select territorios'!$C:$L,10,0)</f>
        <v>10.445878</v>
      </c>
      <c r="I74" s="3" t="str">
        <f>VLOOKUP(B74,'[1]Select territorios'!$C:$M,11,0)</f>
        <v>-73.244649</v>
      </c>
      <c r="J74" s="5" t="s">
        <v>40</v>
      </c>
      <c r="K74" s="5">
        <v>1003275622</v>
      </c>
      <c r="L74" s="5">
        <v>3218847746</v>
      </c>
      <c r="M74" s="5" t="s">
        <v>41</v>
      </c>
    </row>
    <row r="75" spans="1:13" ht="15.75" x14ac:dyDescent="0.25">
      <c r="A75" s="3">
        <v>6971</v>
      </c>
      <c r="B75" s="3">
        <v>8385</v>
      </c>
      <c r="C75" s="3" t="s">
        <v>207</v>
      </c>
      <c r="D75" s="3" t="s">
        <v>208</v>
      </c>
      <c r="E75" s="4">
        <v>18935</v>
      </c>
      <c r="F75" s="3" t="s">
        <v>44</v>
      </c>
      <c r="G75" s="3" t="s">
        <v>27</v>
      </c>
      <c r="H75" s="3" t="str">
        <f>VLOOKUP(B75,'[1]Select territorios'!$C:$L,10,0)</f>
        <v>10.45971</v>
      </c>
      <c r="I75" s="3" t="str">
        <f>VLOOKUP(B75,'[1]Select territorios'!$C:$M,11,0)</f>
        <v>-73.24662</v>
      </c>
      <c r="J75" s="5" t="s">
        <v>40</v>
      </c>
      <c r="K75" s="5">
        <v>1003275622</v>
      </c>
      <c r="L75" s="5">
        <v>3218847746</v>
      </c>
      <c r="M75" s="5" t="s">
        <v>41</v>
      </c>
    </row>
    <row r="76" spans="1:13" ht="15.75" x14ac:dyDescent="0.25">
      <c r="A76" s="3">
        <v>6971</v>
      </c>
      <c r="B76" s="3">
        <v>9072</v>
      </c>
      <c r="C76" s="3" t="s">
        <v>209</v>
      </c>
      <c r="D76" s="3" t="s">
        <v>210</v>
      </c>
      <c r="E76" s="4">
        <v>6997</v>
      </c>
      <c r="F76" s="3" t="s">
        <v>88</v>
      </c>
      <c r="G76" s="3" t="s">
        <v>16</v>
      </c>
      <c r="H76" s="3" t="str">
        <f>VLOOKUP(B76,'[1]Select territorios'!$C:$L,10,0)</f>
        <v>10.333324</v>
      </c>
      <c r="I76" s="3" t="str">
        <f>VLOOKUP(B76,'[1]Select territorios'!$C:$M,11,0)</f>
        <v>-73.181482</v>
      </c>
      <c r="J76" s="5" t="s">
        <v>17</v>
      </c>
      <c r="K76" s="5">
        <v>15173890</v>
      </c>
      <c r="L76" s="5">
        <v>3002039991</v>
      </c>
      <c r="M76" s="5" t="s">
        <v>18</v>
      </c>
    </row>
    <row r="77" spans="1:13" ht="15.75" x14ac:dyDescent="0.25">
      <c r="A77" s="3">
        <v>6971</v>
      </c>
      <c r="B77" s="3">
        <v>7177</v>
      </c>
      <c r="C77" s="3" t="s">
        <v>211</v>
      </c>
      <c r="D77" s="3" t="s">
        <v>212</v>
      </c>
      <c r="E77" s="4">
        <v>8562</v>
      </c>
      <c r="F77" s="3" t="s">
        <v>213</v>
      </c>
      <c r="G77" s="3" t="s">
        <v>16</v>
      </c>
      <c r="H77" s="3" t="str">
        <f>VLOOKUP(B77,'[1]Select territorios'!$C:$L,10,0)</f>
        <v>8.302088</v>
      </c>
      <c r="I77" s="3" t="str">
        <f>VLOOKUP(B77,'[1]Select territorios'!$C:$M,11,0)</f>
        <v>-73.622276</v>
      </c>
      <c r="J77" s="5" t="s">
        <v>71</v>
      </c>
      <c r="K77" s="5">
        <v>1065818056</v>
      </c>
      <c r="L77" s="5">
        <v>3145467066</v>
      </c>
      <c r="M77" s="5" t="s">
        <v>72</v>
      </c>
    </row>
    <row r="78" spans="1:13" ht="15.75" x14ac:dyDescent="0.25">
      <c r="A78" s="3">
        <v>6971</v>
      </c>
      <c r="B78" s="3">
        <v>8352</v>
      </c>
      <c r="C78" s="3" t="s">
        <v>214</v>
      </c>
      <c r="D78" s="3" t="s">
        <v>215</v>
      </c>
      <c r="E78" s="4">
        <v>6996</v>
      </c>
      <c r="F78" s="3" t="s">
        <v>113</v>
      </c>
      <c r="G78" s="3" t="s">
        <v>27</v>
      </c>
      <c r="H78" s="3" t="str">
        <f>VLOOKUP(B78,'[1]Select territorios'!$C:$L,10,0)</f>
        <v>7.762858</v>
      </c>
      <c r="I78" s="3" t="str">
        <f>VLOOKUP(B78,'[1]Select territorios'!$C:$M,11,0)</f>
        <v>-73.391216</v>
      </c>
      <c r="J78" s="5" t="s">
        <v>107</v>
      </c>
      <c r="K78" s="5">
        <v>1005281494</v>
      </c>
      <c r="L78" s="5">
        <v>3158541035</v>
      </c>
      <c r="M78" s="5" t="s">
        <v>108</v>
      </c>
    </row>
    <row r="79" spans="1:13" ht="15.75" x14ac:dyDescent="0.25">
      <c r="A79" s="3">
        <v>6971</v>
      </c>
      <c r="B79" s="3">
        <v>9136</v>
      </c>
      <c r="C79" s="3" t="s">
        <v>216</v>
      </c>
      <c r="D79" s="3" t="s">
        <v>217</v>
      </c>
      <c r="E79" s="4">
        <v>8558</v>
      </c>
      <c r="F79" s="3" t="s">
        <v>62</v>
      </c>
      <c r="G79" s="3" t="s">
        <v>16</v>
      </c>
      <c r="H79" s="3" t="str">
        <f>VLOOKUP(B79,'[1]Select territorios'!$C:$L,10,0)</f>
        <v>10.475363</v>
      </c>
      <c r="I79" s="3" t="str">
        <f>VLOOKUP(B79,'[1]Select territorios'!$C:$M,11,0)</f>
        <v>-73.274003</v>
      </c>
      <c r="J79" s="5" t="s">
        <v>23</v>
      </c>
      <c r="K79" s="5">
        <v>1065600058</v>
      </c>
      <c r="L79" s="5">
        <v>3123009293</v>
      </c>
      <c r="M79" s="5" t="s">
        <v>24</v>
      </c>
    </row>
    <row r="80" spans="1:13" ht="15.75" x14ac:dyDescent="0.25">
      <c r="A80" s="3">
        <v>6971</v>
      </c>
      <c r="B80" s="3">
        <v>8377</v>
      </c>
      <c r="C80" s="3" t="s">
        <v>218</v>
      </c>
      <c r="D80" s="3" t="s">
        <v>219</v>
      </c>
      <c r="E80" s="4">
        <v>18936</v>
      </c>
      <c r="F80" s="3" t="s">
        <v>21</v>
      </c>
      <c r="G80" s="3" t="s">
        <v>16</v>
      </c>
      <c r="H80" s="3" t="str">
        <f>VLOOKUP(B80,'[1]Select territorios'!$C:$L,10,0)</f>
        <v>10.481737</v>
      </c>
      <c r="I80" s="3" t="str">
        <f>VLOOKUP(B80,'[1]Select territorios'!$C:$M,11,0)</f>
        <v>-73.26188</v>
      </c>
      <c r="J80" s="5" t="s">
        <v>23</v>
      </c>
      <c r="K80" s="5">
        <v>1065600058</v>
      </c>
      <c r="L80" s="5">
        <v>3123009293</v>
      </c>
      <c r="M80" s="5" t="s">
        <v>24</v>
      </c>
    </row>
    <row r="81" spans="1:13" ht="15.75" x14ac:dyDescent="0.25">
      <c r="A81" s="3">
        <v>6971</v>
      </c>
      <c r="B81" s="3">
        <v>16821</v>
      </c>
      <c r="C81" s="3" t="s">
        <v>220</v>
      </c>
      <c r="D81" s="3" t="s">
        <v>221</v>
      </c>
      <c r="E81" s="4">
        <v>18936</v>
      </c>
      <c r="F81" s="3" t="s">
        <v>21</v>
      </c>
      <c r="G81" s="3" t="s">
        <v>16</v>
      </c>
      <c r="H81" s="3" t="str">
        <f>VLOOKUP(B81,'[1]Select territorios'!$C:$L,10,0)</f>
        <v>10.4778599</v>
      </c>
      <c r="I81" s="3" t="str">
        <f>VLOOKUP(B81,'[1]Select territorios'!$C:$M,11,0)</f>
        <v>-73.265403</v>
      </c>
      <c r="J81" s="5" t="s">
        <v>23</v>
      </c>
      <c r="K81" s="5">
        <v>1065600058</v>
      </c>
      <c r="L81" s="5">
        <v>3123009293</v>
      </c>
      <c r="M81" s="5" t="s">
        <v>24</v>
      </c>
    </row>
    <row r="82" spans="1:13" ht="15.75" x14ac:dyDescent="0.25">
      <c r="A82" s="3">
        <v>6971</v>
      </c>
      <c r="B82" s="3">
        <v>9037</v>
      </c>
      <c r="C82" s="3" t="s">
        <v>222</v>
      </c>
      <c r="D82" s="3" t="s">
        <v>223</v>
      </c>
      <c r="E82" s="4">
        <v>6994</v>
      </c>
      <c r="F82" s="3" t="s">
        <v>224</v>
      </c>
      <c r="G82" s="3" t="s">
        <v>27</v>
      </c>
      <c r="H82" s="3" t="str">
        <f>VLOOKUP(B82,'[1]Select territorios'!$C:$L,10,0)</f>
        <v>8.11082833</v>
      </c>
      <c r="I82" s="3" t="str">
        <f>VLOOKUP(B82,'[1]Select territorios'!$C:$M,11,0)</f>
        <v>-73.588813</v>
      </c>
      <c r="J82" s="5" t="s">
        <v>107</v>
      </c>
      <c r="K82" s="5">
        <v>1005281494</v>
      </c>
      <c r="L82" s="5">
        <v>3158541035</v>
      </c>
      <c r="M82" s="5" t="s">
        <v>108</v>
      </c>
    </row>
    <row r="83" spans="1:13" ht="15.75" x14ac:dyDescent="0.25">
      <c r="A83" s="3">
        <v>6971</v>
      </c>
      <c r="B83" s="3">
        <v>9011</v>
      </c>
      <c r="C83" s="3" t="s">
        <v>225</v>
      </c>
      <c r="D83" s="3" t="s">
        <v>226</v>
      </c>
      <c r="E83" s="4">
        <v>6988</v>
      </c>
      <c r="F83" s="3" t="s">
        <v>227</v>
      </c>
      <c r="G83" s="3" t="s">
        <v>27</v>
      </c>
      <c r="H83" s="3" t="str">
        <f>VLOOKUP(B83,'[1]Select territorios'!$C:$L,10,0)</f>
        <v>10.38638</v>
      </c>
      <c r="I83" s="3" t="str">
        <f>VLOOKUP(B83,'[1]Select territorios'!$C:$M,11,0)</f>
        <v>-73.170812</v>
      </c>
      <c r="J83" s="5" t="s">
        <v>23</v>
      </c>
      <c r="K83" s="5">
        <v>1065600058</v>
      </c>
      <c r="L83" s="5">
        <v>3123009293</v>
      </c>
      <c r="M83" s="5" t="s">
        <v>24</v>
      </c>
    </row>
    <row r="84" spans="1:13" ht="15.75" x14ac:dyDescent="0.25">
      <c r="A84" s="3">
        <v>6971</v>
      </c>
      <c r="B84" s="3">
        <v>8706</v>
      </c>
      <c r="C84" s="3" t="s">
        <v>228</v>
      </c>
      <c r="D84" s="3" t="s">
        <v>229</v>
      </c>
      <c r="E84" s="4">
        <v>8562</v>
      </c>
      <c r="F84" s="3" t="s">
        <v>213</v>
      </c>
      <c r="G84" s="3" t="s">
        <v>27</v>
      </c>
      <c r="H84" s="3" t="str">
        <f>VLOOKUP(B84,'[1]Select territorios'!$C:$L,10,0)</f>
        <v>8.3061</v>
      </c>
      <c r="I84" s="3" t="str">
        <f>VLOOKUP(B84,'[1]Select territorios'!$C:$M,11,0)</f>
        <v>-73.6221</v>
      </c>
      <c r="J84" s="5" t="s">
        <v>71</v>
      </c>
      <c r="K84" s="5">
        <v>1065818056</v>
      </c>
      <c r="L84" s="5">
        <v>3145467066</v>
      </c>
      <c r="M84" s="5" t="s">
        <v>72</v>
      </c>
    </row>
    <row r="85" spans="1:13" ht="15.75" x14ac:dyDescent="0.25">
      <c r="A85" s="3">
        <v>6971</v>
      </c>
      <c r="B85" s="3">
        <v>8376</v>
      </c>
      <c r="C85" s="3" t="s">
        <v>230</v>
      </c>
      <c r="D85" s="3" t="s">
        <v>231</v>
      </c>
      <c r="E85" s="4">
        <v>8560</v>
      </c>
      <c r="F85" s="3" t="s">
        <v>161</v>
      </c>
      <c r="G85" s="3" t="s">
        <v>16</v>
      </c>
      <c r="H85" s="3" t="str">
        <f>VLOOKUP(B85,'[1]Select territorios'!$C:$L,10,0)</f>
        <v>8.3167621</v>
      </c>
      <c r="I85" s="3" t="str">
        <f>VLOOKUP(B85,'[1]Select territorios'!$C:$M,11,0)</f>
        <v>-73.5935562</v>
      </c>
      <c r="J85" s="5" t="s">
        <v>107</v>
      </c>
      <c r="K85" s="5">
        <v>1005281494</v>
      </c>
      <c r="L85" s="5">
        <v>3158541035</v>
      </c>
      <c r="M85" s="5" t="s">
        <v>108</v>
      </c>
    </row>
    <row r="86" spans="1:13" ht="15.75" x14ac:dyDescent="0.25">
      <c r="A86" s="3">
        <v>6971</v>
      </c>
      <c r="B86" s="3">
        <v>7153</v>
      </c>
      <c r="C86" s="3" t="s">
        <v>232</v>
      </c>
      <c r="D86" s="3" t="s">
        <v>233</v>
      </c>
      <c r="E86" s="4">
        <v>8561</v>
      </c>
      <c r="F86" s="3" t="s">
        <v>168</v>
      </c>
      <c r="G86" s="3" t="s">
        <v>22</v>
      </c>
      <c r="H86" s="3" t="str">
        <f>VLOOKUP(B86,'[1]Select territorios'!$C:$L,10,0)</f>
        <v>8.30923</v>
      </c>
      <c r="I86" s="3" t="str">
        <f>VLOOKUP(B86,'[1]Select territorios'!$C:$M,11,0)</f>
        <v>-73.618025</v>
      </c>
      <c r="J86" s="5" t="s">
        <v>107</v>
      </c>
      <c r="K86" s="5">
        <v>1005281494</v>
      </c>
      <c r="L86" s="5">
        <v>3158541035</v>
      </c>
      <c r="M86" s="5" t="s">
        <v>108</v>
      </c>
    </row>
    <row r="87" spans="1:13" ht="15.75" x14ac:dyDescent="0.25">
      <c r="A87" s="3">
        <v>6971</v>
      </c>
      <c r="B87" s="3">
        <v>7176</v>
      </c>
      <c r="C87" s="3" t="s">
        <v>234</v>
      </c>
      <c r="D87" s="3" t="s">
        <v>235</v>
      </c>
      <c r="E87" s="4">
        <v>6972</v>
      </c>
      <c r="F87" s="3" t="s">
        <v>173</v>
      </c>
      <c r="G87" s="3" t="s">
        <v>16</v>
      </c>
      <c r="H87" s="3" t="str">
        <f>VLOOKUP(B87,'[1]Select territorios'!$C:$L,10,0)</f>
        <v>8.307275</v>
      </c>
      <c r="I87" s="3" t="str">
        <f>VLOOKUP(B87,'[1]Select territorios'!$C:$M,11,0)</f>
        <v>-73.608861</v>
      </c>
      <c r="J87" s="5" t="s">
        <v>71</v>
      </c>
      <c r="K87" s="5">
        <v>1065818056</v>
      </c>
      <c r="L87" s="5">
        <v>3145467066</v>
      </c>
      <c r="M87" s="5" t="s">
        <v>72</v>
      </c>
    </row>
    <row r="88" spans="1:13" ht="15.75" x14ac:dyDescent="0.25">
      <c r="A88" s="3">
        <v>6971</v>
      </c>
      <c r="B88" s="3">
        <v>7194</v>
      </c>
      <c r="C88" s="3" t="s">
        <v>236</v>
      </c>
      <c r="D88" s="3" t="s">
        <v>237</v>
      </c>
      <c r="E88" s="4">
        <v>6972</v>
      </c>
      <c r="F88" s="3" t="s">
        <v>173</v>
      </c>
      <c r="G88" s="3" t="s">
        <v>16</v>
      </c>
      <c r="H88" s="3" t="str">
        <f>VLOOKUP(B88,'[1]Select territorios'!$C:$L,10,0)</f>
        <v>8.3163944</v>
      </c>
      <c r="I88" s="3" t="str">
        <f>VLOOKUP(B88,'[1]Select territorios'!$C:$M,11,0)</f>
        <v>-73.598611</v>
      </c>
      <c r="J88" s="5" t="s">
        <v>71</v>
      </c>
      <c r="K88" s="5">
        <v>1065818056</v>
      </c>
      <c r="L88" s="5">
        <v>3145467066</v>
      </c>
      <c r="M88" s="5" t="s">
        <v>72</v>
      </c>
    </row>
    <row r="89" spans="1:13" ht="15.75" x14ac:dyDescent="0.25">
      <c r="A89" s="3">
        <v>6971</v>
      </c>
      <c r="B89" s="3">
        <v>8450</v>
      </c>
      <c r="C89" s="3" t="s">
        <v>238</v>
      </c>
      <c r="D89" s="3" t="s">
        <v>239</v>
      </c>
      <c r="E89" s="4">
        <v>8552</v>
      </c>
      <c r="F89" s="3" t="s">
        <v>30</v>
      </c>
      <c r="G89" s="3" t="s">
        <v>16</v>
      </c>
      <c r="H89" s="3" t="str">
        <f>VLOOKUP(B89,'[1]Select territorios'!$C:$L,10,0)</f>
        <v>10.465513</v>
      </c>
      <c r="I89" s="3" t="str">
        <f>VLOOKUP(B89,'[1]Select territorios'!$C:$M,11,0)</f>
        <v>-73.259834</v>
      </c>
      <c r="J89" s="5" t="s">
        <v>17</v>
      </c>
      <c r="K89" s="5">
        <v>15173890</v>
      </c>
      <c r="L89" s="5">
        <v>3002039991</v>
      </c>
      <c r="M89" s="5" t="s">
        <v>18</v>
      </c>
    </row>
    <row r="90" spans="1:13" ht="15.75" x14ac:dyDescent="0.25">
      <c r="A90" s="3">
        <v>6971</v>
      </c>
      <c r="B90" s="3">
        <v>8383</v>
      </c>
      <c r="C90" s="3" t="s">
        <v>240</v>
      </c>
      <c r="D90" s="3" t="s">
        <v>241</v>
      </c>
      <c r="E90" s="4">
        <v>23794</v>
      </c>
      <c r="F90" s="3" t="s">
        <v>242</v>
      </c>
      <c r="G90" s="3" t="s">
        <v>27</v>
      </c>
      <c r="H90" s="3" t="str">
        <f>VLOOKUP(B90,'[1]Select territorios'!$C:$L,10,0)</f>
        <v>10.487423</v>
      </c>
      <c r="I90" s="3" t="str">
        <f>VLOOKUP(B90,'[1]Select territorios'!$C:$M,11,0)</f>
        <v>-73.278299</v>
      </c>
      <c r="J90" s="5" t="s">
        <v>17</v>
      </c>
      <c r="K90" s="5">
        <v>15173890</v>
      </c>
      <c r="L90" s="5">
        <v>3002039991</v>
      </c>
      <c r="M90" s="5" t="s">
        <v>18</v>
      </c>
    </row>
    <row r="91" spans="1:13" ht="15.75" x14ac:dyDescent="0.25">
      <c r="A91" s="3">
        <v>6971</v>
      </c>
      <c r="B91" s="3">
        <v>8484</v>
      </c>
      <c r="C91" s="3" t="s">
        <v>243</v>
      </c>
      <c r="D91" s="3" t="s">
        <v>244</v>
      </c>
      <c r="E91" s="4">
        <v>44808</v>
      </c>
      <c r="F91" s="3" t="s">
        <v>245</v>
      </c>
      <c r="G91" s="3" t="s">
        <v>16</v>
      </c>
      <c r="H91" s="3" t="str">
        <f>VLOOKUP(B91,'[1]Select territorios'!$C:$L,10,0)</f>
        <v>9.290207</v>
      </c>
      <c r="I91" s="3" t="str">
        <f>VLOOKUP(B91,'[1]Select territorios'!$C:$M,11,0)</f>
        <v>-73.511417</v>
      </c>
      <c r="J91" s="5" t="s">
        <v>58</v>
      </c>
      <c r="K91" s="5">
        <v>1193146338</v>
      </c>
      <c r="L91" s="5">
        <v>3202114923</v>
      </c>
      <c r="M91" s="5" t="s">
        <v>59</v>
      </c>
    </row>
    <row r="92" spans="1:13" ht="15.75" x14ac:dyDescent="0.25">
      <c r="A92" s="3">
        <v>6971</v>
      </c>
      <c r="B92" s="3">
        <v>9137</v>
      </c>
      <c r="C92" s="3" t="s">
        <v>246</v>
      </c>
      <c r="D92" s="3" t="s">
        <v>247</v>
      </c>
      <c r="E92" s="4">
        <v>8558</v>
      </c>
      <c r="F92" s="3" t="s">
        <v>62</v>
      </c>
      <c r="G92" s="3" t="s">
        <v>16</v>
      </c>
      <c r="H92" s="3" t="str">
        <f>VLOOKUP(B92,'[1]Select territorios'!$C:$L,10,0)</f>
        <v>10.473799</v>
      </c>
      <c r="I92" s="3" t="str">
        <f>VLOOKUP(B92,'[1]Select territorios'!$C:$M,11,0)</f>
        <v>-73.265981</v>
      </c>
      <c r="J92" s="5" t="s">
        <v>23</v>
      </c>
      <c r="K92" s="5">
        <v>1065600058</v>
      </c>
      <c r="L92" s="5">
        <v>3123009293</v>
      </c>
      <c r="M92" s="5" t="s">
        <v>24</v>
      </c>
    </row>
    <row r="93" spans="1:13" ht="15.75" x14ac:dyDescent="0.25">
      <c r="A93" s="3">
        <v>6971</v>
      </c>
      <c r="B93" s="3">
        <v>7243</v>
      </c>
      <c r="C93" s="3" t="s">
        <v>248</v>
      </c>
      <c r="D93" s="3" t="s">
        <v>249</v>
      </c>
      <c r="E93" s="4">
        <v>8554</v>
      </c>
      <c r="F93" s="3" t="s">
        <v>81</v>
      </c>
      <c r="G93" s="3" t="s">
        <v>27</v>
      </c>
      <c r="H93" s="3" t="str">
        <f>VLOOKUP(B93,'[1]Select territorios'!$C:$L,10,0)</f>
        <v>10.4518</v>
      </c>
      <c r="I93" s="3" t="str">
        <f>VLOOKUP(B93,'[1]Select territorios'!$C:$M,11,0)</f>
        <v>-73.2508</v>
      </c>
      <c r="J93" s="5" t="s">
        <v>40</v>
      </c>
      <c r="K93" s="5">
        <v>1003275622</v>
      </c>
      <c r="L93" s="5">
        <v>3218847746</v>
      </c>
      <c r="M93" s="5" t="s">
        <v>41</v>
      </c>
    </row>
    <row r="94" spans="1:13" ht="15.75" x14ac:dyDescent="0.25">
      <c r="A94" s="3">
        <v>6971</v>
      </c>
      <c r="B94" s="3">
        <v>8470</v>
      </c>
      <c r="C94" s="3" t="s">
        <v>250</v>
      </c>
      <c r="D94" s="3" t="s">
        <v>251</v>
      </c>
      <c r="E94" s="4">
        <v>8556</v>
      </c>
      <c r="F94" s="3" t="s">
        <v>36</v>
      </c>
      <c r="G94" s="3" t="s">
        <v>16</v>
      </c>
      <c r="H94" s="3" t="str">
        <f>VLOOKUP(B94,'[1]Select territorios'!$C:$L,10,0)</f>
        <v>10.4692</v>
      </c>
      <c r="I94" s="3" t="str">
        <f>VLOOKUP(B94,'[1]Select territorios'!$C:$M,11,0)</f>
        <v>-73.2432</v>
      </c>
      <c r="J94" s="5" t="s">
        <v>23</v>
      </c>
      <c r="K94" s="5">
        <v>1065600058</v>
      </c>
      <c r="L94" s="5">
        <v>3123009293</v>
      </c>
      <c r="M94" s="5" t="s">
        <v>24</v>
      </c>
    </row>
    <row r="95" spans="1:13" ht="15.75" x14ac:dyDescent="0.25">
      <c r="A95" s="3">
        <v>6971</v>
      </c>
      <c r="B95" s="3">
        <v>9242</v>
      </c>
      <c r="C95" s="3" t="s">
        <v>252</v>
      </c>
      <c r="D95" s="3" t="s">
        <v>253</v>
      </c>
      <c r="E95" s="4">
        <v>8553</v>
      </c>
      <c r="F95" s="3" t="s">
        <v>15</v>
      </c>
      <c r="G95" s="3" t="s">
        <v>16</v>
      </c>
      <c r="H95" s="3" t="str">
        <f>VLOOKUP(B95,'[1]Select territorios'!$C:$L,10,0)</f>
        <v>10.484023</v>
      </c>
      <c r="I95" s="3" t="str">
        <f>VLOOKUP(B95,'[1]Select territorios'!$C:$M,11,0)</f>
        <v>-73.282725</v>
      </c>
      <c r="J95" s="5" t="s">
        <v>17</v>
      </c>
      <c r="K95" s="5">
        <v>15173890</v>
      </c>
      <c r="L95" s="5">
        <v>3002039991</v>
      </c>
      <c r="M95" s="5" t="s">
        <v>18</v>
      </c>
    </row>
    <row r="96" spans="1:13" ht="15.75" x14ac:dyDescent="0.25">
      <c r="A96" s="3">
        <v>6971</v>
      </c>
      <c r="B96" s="3">
        <v>8905</v>
      </c>
      <c r="C96" s="3" t="s">
        <v>254</v>
      </c>
      <c r="D96" s="3" t="s">
        <v>255</v>
      </c>
      <c r="E96" s="4">
        <v>45386</v>
      </c>
      <c r="F96" s="3" t="s">
        <v>67</v>
      </c>
      <c r="G96" s="3" t="s">
        <v>27</v>
      </c>
      <c r="H96" s="3" t="str">
        <f>VLOOKUP(B96,'[1]Select territorios'!$C:$L,10,0)</f>
        <v>10.303223</v>
      </c>
      <c r="I96" s="3" t="str">
        <f>VLOOKUP(B96,'[1]Select territorios'!$C:$M,11,0)</f>
        <v>-73.395491</v>
      </c>
      <c r="J96" s="5" t="s">
        <v>40</v>
      </c>
      <c r="K96" s="5">
        <v>1003275622</v>
      </c>
      <c r="L96" s="5">
        <v>3218847746</v>
      </c>
      <c r="M96" s="5" t="s">
        <v>41</v>
      </c>
    </row>
    <row r="97" spans="1:13" ht="15.75" x14ac:dyDescent="0.25">
      <c r="A97" s="3">
        <v>6971</v>
      </c>
      <c r="B97" s="3">
        <v>17538</v>
      </c>
      <c r="C97" s="3" t="s">
        <v>256</v>
      </c>
      <c r="D97" s="3" t="s">
        <v>257</v>
      </c>
      <c r="E97" s="4">
        <v>18936</v>
      </c>
      <c r="F97" s="3" t="s">
        <v>21</v>
      </c>
      <c r="G97" s="3" t="s">
        <v>27</v>
      </c>
      <c r="H97" s="3" t="str">
        <f>VLOOKUP(B97,'[1]Select territorios'!$C:$L,10,0)</f>
        <v>10.480031</v>
      </c>
      <c r="I97" s="3" t="str">
        <f>VLOOKUP(B97,'[1]Select territorios'!$C:$M,11,0)</f>
        <v>-73.254866</v>
      </c>
      <c r="J97" s="5" t="s">
        <v>23</v>
      </c>
      <c r="K97" s="5">
        <v>1065600058</v>
      </c>
      <c r="L97" s="5">
        <v>3123009293</v>
      </c>
      <c r="M97" s="5" t="s">
        <v>24</v>
      </c>
    </row>
    <row r="98" spans="1:13" ht="15.75" x14ac:dyDescent="0.25">
      <c r="A98" s="3">
        <v>6971</v>
      </c>
      <c r="B98" s="3">
        <v>8505</v>
      </c>
      <c r="C98" s="3" t="s">
        <v>258</v>
      </c>
      <c r="D98" s="3" t="s">
        <v>259</v>
      </c>
      <c r="E98" s="4">
        <v>6999</v>
      </c>
      <c r="F98" s="3" t="s">
        <v>260</v>
      </c>
      <c r="G98" s="3" t="s">
        <v>27</v>
      </c>
      <c r="H98" s="3" t="str">
        <f>VLOOKUP(B98,'[1]Select territorios'!$C:$L,10,0)</f>
        <v>8.8584651</v>
      </c>
      <c r="I98" s="3" t="str">
        <f>VLOOKUP(B98,'[1]Select territorios'!$C:$M,11,0)</f>
        <v>-73.81113465</v>
      </c>
      <c r="J98" s="5" t="s">
        <v>71</v>
      </c>
      <c r="K98" s="5">
        <v>1065818056</v>
      </c>
      <c r="L98" s="5">
        <v>3145467066</v>
      </c>
      <c r="M98" s="5" t="s">
        <v>72</v>
      </c>
    </row>
    <row r="99" spans="1:13" ht="15.75" x14ac:dyDescent="0.25">
      <c r="A99" s="3">
        <v>6971</v>
      </c>
      <c r="B99" s="3">
        <v>44809</v>
      </c>
      <c r="C99" s="3" t="s">
        <v>261</v>
      </c>
      <c r="D99" s="3" t="s">
        <v>262</v>
      </c>
      <c r="E99" s="4">
        <v>44808</v>
      </c>
      <c r="F99" s="3" t="s">
        <v>245</v>
      </c>
      <c r="G99" s="3" t="s">
        <v>22</v>
      </c>
      <c r="H99" s="3" t="str">
        <f>VLOOKUP(B99,'[1]Select territorios'!$C:$L,10,0)</f>
        <v>9.288</v>
      </c>
      <c r="I99" s="3" t="str">
        <f>VLOOKUP(B99,'[1]Select territorios'!$C:$M,11,0)</f>
        <v>-73.51113</v>
      </c>
      <c r="J99" s="5" t="s">
        <v>58</v>
      </c>
      <c r="K99" s="5">
        <v>1193146338</v>
      </c>
      <c r="L99" s="5">
        <v>3202114923</v>
      </c>
      <c r="M99" s="5" t="s">
        <v>59</v>
      </c>
    </row>
    <row r="100" spans="1:13" ht="15.75" x14ac:dyDescent="0.25">
      <c r="A100" s="3">
        <v>6971</v>
      </c>
      <c r="B100" s="3">
        <v>8289</v>
      </c>
      <c r="C100" s="3" t="s">
        <v>263</v>
      </c>
      <c r="D100" s="3" t="s">
        <v>264</v>
      </c>
      <c r="E100" s="4">
        <v>8562</v>
      </c>
      <c r="F100" s="3" t="s">
        <v>213</v>
      </c>
      <c r="G100" s="3" t="s">
        <v>16</v>
      </c>
      <c r="H100" s="3" t="str">
        <f>VLOOKUP(B100,'[1]Select territorios'!$C:$L,10,0)</f>
        <v>8.296792</v>
      </c>
      <c r="I100" s="3" t="str">
        <f>VLOOKUP(B100,'[1]Select territorios'!$C:$M,11,0)</f>
        <v>-73.619418</v>
      </c>
      <c r="J100" s="5" t="s">
        <v>71</v>
      </c>
      <c r="K100" s="5">
        <v>1065818056</v>
      </c>
      <c r="L100" s="5">
        <v>3145467066</v>
      </c>
      <c r="M100" s="5" t="s">
        <v>72</v>
      </c>
    </row>
    <row r="101" spans="1:13" ht="15.75" x14ac:dyDescent="0.25">
      <c r="A101" s="3">
        <v>6971</v>
      </c>
      <c r="B101" s="3">
        <v>7139</v>
      </c>
      <c r="C101" s="3" t="s">
        <v>265</v>
      </c>
      <c r="D101" s="3" t="s">
        <v>30</v>
      </c>
      <c r="E101" s="4">
        <v>8552</v>
      </c>
      <c r="F101" s="3" t="s">
        <v>30</v>
      </c>
      <c r="G101" s="3" t="s">
        <v>22</v>
      </c>
      <c r="H101" s="3" t="str">
        <f>VLOOKUP(B101,'[1]Select territorios'!$C:$L,10,0)</f>
        <v>10.4573</v>
      </c>
      <c r="I101" s="3" t="str">
        <f>VLOOKUP(B101,'[1]Select territorios'!$C:$M,11,0)</f>
        <v>-73.25651</v>
      </c>
      <c r="J101" s="5" t="s">
        <v>17</v>
      </c>
      <c r="K101" s="5">
        <v>15173890</v>
      </c>
      <c r="L101" s="5">
        <v>3002039991</v>
      </c>
      <c r="M101" s="5" t="s">
        <v>18</v>
      </c>
    </row>
    <row r="102" spans="1:13" ht="15.75" x14ac:dyDescent="0.25">
      <c r="A102" s="3">
        <v>6971</v>
      </c>
      <c r="B102" s="3">
        <v>7129</v>
      </c>
      <c r="C102" s="3" t="s">
        <v>266</v>
      </c>
      <c r="D102" s="3" t="s">
        <v>267</v>
      </c>
      <c r="E102" s="4">
        <v>8554</v>
      </c>
      <c r="F102" s="3" t="s">
        <v>81</v>
      </c>
      <c r="G102" s="3" t="s">
        <v>22</v>
      </c>
      <c r="H102" s="3" t="str">
        <f>VLOOKUP(B102,'[1]Select territorios'!$C:$L,10,0)</f>
        <v>10.4448</v>
      </c>
      <c r="I102" s="3" t="str">
        <f>VLOOKUP(B102,'[1]Select territorios'!$C:$M,11,0)</f>
        <v>-73.2433</v>
      </c>
      <c r="J102" s="5" t="s">
        <v>40</v>
      </c>
      <c r="K102" s="5">
        <v>1003275622</v>
      </c>
      <c r="L102" s="5">
        <v>3218847746</v>
      </c>
      <c r="M102" s="5" t="s">
        <v>41</v>
      </c>
    </row>
    <row r="103" spans="1:13" ht="15.75" x14ac:dyDescent="0.25">
      <c r="A103" s="3">
        <v>6971</v>
      </c>
      <c r="B103" s="3">
        <v>7124</v>
      </c>
      <c r="C103" s="3" t="s">
        <v>268</v>
      </c>
      <c r="D103" s="3" t="s">
        <v>269</v>
      </c>
      <c r="E103" s="4">
        <v>8553</v>
      </c>
      <c r="F103" s="3" t="s">
        <v>15</v>
      </c>
      <c r="G103" s="3" t="s">
        <v>22</v>
      </c>
      <c r="H103" s="3" t="str">
        <f>VLOOKUP(B103,'[1]Select territorios'!$C:$L,10,0)</f>
        <v>10.476949</v>
      </c>
      <c r="I103" s="3" t="str">
        <f>VLOOKUP(B103,'[1]Select territorios'!$C:$M,11,0)</f>
        <v>-73.283408</v>
      </c>
      <c r="J103" s="5" t="s">
        <v>17</v>
      </c>
      <c r="K103" s="5">
        <v>15173890</v>
      </c>
      <c r="L103" s="5">
        <v>3002039991</v>
      </c>
      <c r="M103" s="5" t="s">
        <v>18</v>
      </c>
    </row>
    <row r="104" spans="1:13" ht="15.75" x14ac:dyDescent="0.25">
      <c r="A104" s="3">
        <v>6971</v>
      </c>
      <c r="B104" s="3">
        <v>7010</v>
      </c>
      <c r="C104" s="3" t="s">
        <v>270</v>
      </c>
      <c r="D104" s="3" t="s">
        <v>271</v>
      </c>
      <c r="E104" s="4">
        <v>7001</v>
      </c>
      <c r="F104" s="3" t="s">
        <v>55</v>
      </c>
      <c r="G104" s="3" t="s">
        <v>22</v>
      </c>
      <c r="H104" s="3" t="str">
        <f>VLOOKUP(B104,'[1]Select territorios'!$C:$L,10,0)</f>
        <v>10.473</v>
      </c>
      <c r="I104" s="3" t="str">
        <f>VLOOKUP(B104,'[1]Select territorios'!$C:$M,11,0)</f>
        <v>-73.2494</v>
      </c>
      <c r="J104" s="5" t="s">
        <v>23</v>
      </c>
      <c r="K104" s="5">
        <v>1065600058</v>
      </c>
      <c r="L104" s="5">
        <v>3123009293</v>
      </c>
      <c r="M104" s="5" t="s">
        <v>24</v>
      </c>
    </row>
    <row r="105" spans="1:13" ht="15.75" x14ac:dyDescent="0.25">
      <c r="A105" s="3">
        <v>6971</v>
      </c>
      <c r="B105" s="3">
        <v>8386</v>
      </c>
      <c r="C105" s="3" t="s">
        <v>272</v>
      </c>
      <c r="D105" s="3" t="s">
        <v>273</v>
      </c>
      <c r="E105" s="4">
        <v>7001</v>
      </c>
      <c r="F105" s="3" t="s">
        <v>55</v>
      </c>
      <c r="G105" s="3" t="s">
        <v>27</v>
      </c>
      <c r="H105" s="3" t="str">
        <f>VLOOKUP(B105,'[1]Select territorios'!$C:$L,10,0)</f>
        <v>10.4646</v>
      </c>
      <c r="I105" s="3" t="str">
        <f>VLOOKUP(B105,'[1]Select territorios'!$C:$M,11,0)</f>
        <v>-73.2477</v>
      </c>
      <c r="J105" s="5" t="s">
        <v>23</v>
      </c>
      <c r="K105" s="5">
        <v>1065600058</v>
      </c>
      <c r="L105" s="5">
        <v>3123009293</v>
      </c>
      <c r="M105" s="5" t="s">
        <v>24</v>
      </c>
    </row>
    <row r="106" spans="1:13" ht="15.75" x14ac:dyDescent="0.25">
      <c r="A106" s="3">
        <v>6971</v>
      </c>
      <c r="B106" s="3">
        <v>7122</v>
      </c>
      <c r="C106" s="3" t="s">
        <v>274</v>
      </c>
      <c r="D106" s="3" t="s">
        <v>36</v>
      </c>
      <c r="E106" s="4">
        <v>8556</v>
      </c>
      <c r="F106" s="3" t="s">
        <v>36</v>
      </c>
      <c r="G106" s="3" t="s">
        <v>22</v>
      </c>
      <c r="H106" s="3" t="str">
        <f>VLOOKUP(B106,'[1]Select territorios'!$C:$L,10,0)</f>
        <v>10.4742</v>
      </c>
      <c r="I106" s="3" t="str">
        <f>VLOOKUP(B106,'[1]Select territorios'!$C:$M,11,0)</f>
        <v>-73.2471</v>
      </c>
      <c r="J106" s="5" t="s">
        <v>23</v>
      </c>
      <c r="K106" s="5">
        <v>1065600058</v>
      </c>
      <c r="L106" s="5">
        <v>3123009293</v>
      </c>
      <c r="M106" s="5" t="s">
        <v>24</v>
      </c>
    </row>
    <row r="107" spans="1:13" ht="15.75" x14ac:dyDescent="0.25">
      <c r="A107" s="3">
        <v>6971</v>
      </c>
      <c r="B107" s="3">
        <v>7151</v>
      </c>
      <c r="C107" s="3" t="s">
        <v>275</v>
      </c>
      <c r="D107" s="3" t="s">
        <v>213</v>
      </c>
      <c r="E107" s="4">
        <v>8562</v>
      </c>
      <c r="F107" s="3" t="s">
        <v>213</v>
      </c>
      <c r="G107" s="3" t="s">
        <v>22</v>
      </c>
      <c r="H107" s="3" t="str">
        <f>VLOOKUP(B107,'[1]Select territorios'!$C:$L,10,0)</f>
        <v>8.309743</v>
      </c>
      <c r="I107" s="3" t="str">
        <f>VLOOKUP(B107,'[1]Select territorios'!$C:$M,11,0)</f>
        <v>-73.623722</v>
      </c>
      <c r="J107" s="5" t="s">
        <v>71</v>
      </c>
      <c r="K107" s="5">
        <v>1065818056</v>
      </c>
      <c r="L107" s="5">
        <v>3145467066</v>
      </c>
      <c r="M107" s="5" t="s">
        <v>72</v>
      </c>
    </row>
    <row r="108" spans="1:13" ht="15.75" x14ac:dyDescent="0.25">
      <c r="A108" s="3">
        <v>6971</v>
      </c>
      <c r="B108" s="3">
        <v>18944</v>
      </c>
      <c r="C108" s="3" t="s">
        <v>276</v>
      </c>
      <c r="D108" s="3" t="s">
        <v>277</v>
      </c>
      <c r="E108" s="4">
        <v>18935</v>
      </c>
      <c r="F108" s="3" t="s">
        <v>44</v>
      </c>
      <c r="G108" s="3" t="s">
        <v>22</v>
      </c>
      <c r="H108" s="3" t="str">
        <f>VLOOKUP(B108,'[1]Select territorios'!$C:$L,10,0)</f>
        <v>10.4569</v>
      </c>
      <c r="I108" s="3" t="str">
        <f>VLOOKUP(B108,'[1]Select territorios'!$C:$M,11,0)</f>
        <v>-73.2488</v>
      </c>
      <c r="J108" s="5" t="s">
        <v>40</v>
      </c>
      <c r="K108" s="5">
        <v>1003275622</v>
      </c>
      <c r="L108" s="5">
        <v>3218847746</v>
      </c>
      <c r="M108" s="5" t="s">
        <v>41</v>
      </c>
    </row>
    <row r="109" spans="1:13" ht="15.75" x14ac:dyDescent="0.25">
      <c r="A109" s="3">
        <v>6971</v>
      </c>
      <c r="B109" s="3">
        <v>17926</v>
      </c>
      <c r="C109" s="3" t="s">
        <v>278</v>
      </c>
      <c r="D109" s="3" t="s">
        <v>279</v>
      </c>
      <c r="E109" s="4">
        <v>6996</v>
      </c>
      <c r="F109" s="3" t="s">
        <v>113</v>
      </c>
      <c r="G109" s="3" t="s">
        <v>27</v>
      </c>
      <c r="H109" s="3" t="str">
        <f>VLOOKUP(B109,'[1]Select territorios'!$C:$L,10,0)</f>
        <v>7.732181</v>
      </c>
      <c r="I109" s="3" t="str">
        <f>VLOOKUP(B109,'[1]Select territorios'!$C:$M,11,0)</f>
        <v>-73.434311</v>
      </c>
      <c r="J109" s="5" t="s">
        <v>107</v>
      </c>
      <c r="K109" s="5">
        <v>1005281494</v>
      </c>
      <c r="L109" s="5">
        <v>3158541035</v>
      </c>
      <c r="M109" s="5" t="s">
        <v>108</v>
      </c>
    </row>
    <row r="110" spans="1:13" ht="15.75" x14ac:dyDescent="0.25">
      <c r="A110" s="3">
        <v>6971</v>
      </c>
      <c r="B110" s="3">
        <v>8398</v>
      </c>
      <c r="C110" s="3" t="s">
        <v>280</v>
      </c>
      <c r="D110" s="3" t="s">
        <v>281</v>
      </c>
      <c r="E110" s="4">
        <v>6982</v>
      </c>
      <c r="F110" s="3" t="s">
        <v>118</v>
      </c>
      <c r="G110" s="3" t="s">
        <v>16</v>
      </c>
      <c r="H110" s="3" t="str">
        <f>VLOOKUP(B110,'[1]Select territorios'!$C:$L,10,0)</f>
        <v>8.32991</v>
      </c>
      <c r="I110" s="3" t="str">
        <f>VLOOKUP(B110,'[1]Select territorios'!$C:$M,11,0)</f>
        <v>-73.72813</v>
      </c>
      <c r="J110" s="5" t="s">
        <v>107</v>
      </c>
      <c r="K110" s="5">
        <v>1005281494</v>
      </c>
      <c r="L110" s="5">
        <v>3158541035</v>
      </c>
      <c r="M110" s="5" t="s">
        <v>108</v>
      </c>
    </row>
    <row r="111" spans="1:13" ht="15.75" x14ac:dyDescent="0.25">
      <c r="A111" s="3">
        <v>6971</v>
      </c>
      <c r="B111" s="3">
        <v>8503</v>
      </c>
      <c r="C111" s="3" t="s">
        <v>282</v>
      </c>
      <c r="D111" s="3" t="s">
        <v>283</v>
      </c>
      <c r="E111" s="4">
        <v>6976</v>
      </c>
      <c r="F111" s="3" t="s">
        <v>96</v>
      </c>
      <c r="G111" s="3" t="s">
        <v>27</v>
      </c>
      <c r="H111" s="3" t="str">
        <f>VLOOKUP(B111,'[1]Select territorios'!$C:$L,10,0)</f>
        <v>9.208154</v>
      </c>
      <c r="I111" s="3" t="str">
        <f>VLOOKUP(B111,'[1]Select territorios'!$C:$M,11,0)</f>
        <v>-73.879633</v>
      </c>
      <c r="J111" s="5" t="s">
        <v>48</v>
      </c>
      <c r="K111" s="5">
        <v>1064795379</v>
      </c>
      <c r="L111" s="5">
        <v>3104688587</v>
      </c>
      <c r="M111" s="5" t="s">
        <v>49</v>
      </c>
    </row>
    <row r="112" spans="1:13" ht="15.75" x14ac:dyDescent="0.25">
      <c r="A112" s="3">
        <v>6971</v>
      </c>
      <c r="B112" s="3">
        <v>8290</v>
      </c>
      <c r="C112" s="3" t="s">
        <v>284</v>
      </c>
      <c r="D112" s="3" t="s">
        <v>285</v>
      </c>
      <c r="E112" s="4">
        <v>8562</v>
      </c>
      <c r="F112" s="3" t="s">
        <v>213</v>
      </c>
      <c r="G112" s="3" t="s">
        <v>16</v>
      </c>
      <c r="H112" s="3" t="str">
        <f>VLOOKUP(B112,'[1]Select territorios'!$C:$L,10,0)</f>
        <v>8.295554</v>
      </c>
      <c r="I112" s="3" t="str">
        <f>VLOOKUP(B112,'[1]Select territorios'!$C:$M,11,0)</f>
        <v>-73.623146</v>
      </c>
      <c r="J112" s="5" t="s">
        <v>71</v>
      </c>
      <c r="K112" s="5">
        <v>1065818056</v>
      </c>
      <c r="L112" s="5">
        <v>3145467066</v>
      </c>
      <c r="M112" s="5" t="s">
        <v>72</v>
      </c>
    </row>
    <row r="113" spans="1:13" ht="15.75" x14ac:dyDescent="0.25">
      <c r="A113" s="3">
        <v>6971</v>
      </c>
      <c r="B113" s="3">
        <v>18211</v>
      </c>
      <c r="C113" s="3" t="s">
        <v>286</v>
      </c>
      <c r="D113" s="3" t="s">
        <v>287</v>
      </c>
      <c r="E113" s="4">
        <v>6972</v>
      </c>
      <c r="F113" s="3" t="s">
        <v>173</v>
      </c>
      <c r="G113" s="3" t="s">
        <v>16</v>
      </c>
      <c r="H113" s="3" t="str">
        <f>VLOOKUP(B113,'[1]Select territorios'!$C:$L,10,0)</f>
        <v>8.2571948</v>
      </c>
      <c r="I113" s="3" t="str">
        <f>VLOOKUP(B113,'[1]Select territorios'!$C:$M,11,0)</f>
        <v>-73.593635</v>
      </c>
      <c r="J113" s="5" t="s">
        <v>71</v>
      </c>
      <c r="K113" s="5">
        <v>1065818056</v>
      </c>
      <c r="L113" s="5">
        <v>3145467066</v>
      </c>
      <c r="M113" s="5" t="s">
        <v>72</v>
      </c>
    </row>
    <row r="114" spans="1:13" ht="15.75" x14ac:dyDescent="0.25">
      <c r="A114" s="3">
        <v>6971</v>
      </c>
      <c r="B114" s="3">
        <v>8683</v>
      </c>
      <c r="C114" s="3" t="s">
        <v>288</v>
      </c>
      <c r="D114" s="3" t="s">
        <v>289</v>
      </c>
      <c r="E114" s="4">
        <v>7001</v>
      </c>
      <c r="F114" s="3" t="s">
        <v>55</v>
      </c>
      <c r="G114" s="3" t="s">
        <v>27</v>
      </c>
      <c r="H114" s="3" t="str">
        <f>VLOOKUP(B114,'[1]Select territorios'!$C:$L,10,0)</f>
        <v>10.4638</v>
      </c>
      <c r="I114" s="3" t="str">
        <f>VLOOKUP(B114,'[1]Select territorios'!$C:$M,11,0)</f>
        <v>-73.2512</v>
      </c>
      <c r="J114" s="5" t="s">
        <v>23</v>
      </c>
      <c r="K114" s="5">
        <v>1065600058</v>
      </c>
      <c r="L114" s="5">
        <v>3123009293</v>
      </c>
      <c r="M114" s="5" t="s">
        <v>24</v>
      </c>
    </row>
    <row r="115" spans="1:13" ht="15.75" x14ac:dyDescent="0.25">
      <c r="A115" s="3">
        <v>6971</v>
      </c>
      <c r="B115" s="3">
        <v>8606</v>
      </c>
      <c r="C115" s="3" t="s">
        <v>290</v>
      </c>
      <c r="D115" s="3" t="s">
        <v>291</v>
      </c>
      <c r="E115" s="4">
        <v>6977</v>
      </c>
      <c r="F115" s="3" t="s">
        <v>52</v>
      </c>
      <c r="G115" s="3" t="s">
        <v>16</v>
      </c>
      <c r="H115" s="3" t="str">
        <f>VLOOKUP(B115,'[1]Select territorios'!$C:$L,10,0)</f>
        <v>9.3933</v>
      </c>
      <c r="I115" s="3" t="str">
        <f>VLOOKUP(B115,'[1]Select territorios'!$C:$M,11,0)</f>
        <v>-73.4885</v>
      </c>
      <c r="J115" s="5" t="s">
        <v>48</v>
      </c>
      <c r="K115" s="5">
        <v>1064795379</v>
      </c>
      <c r="L115" s="5">
        <v>3104688587</v>
      </c>
      <c r="M115" s="5" t="s">
        <v>49</v>
      </c>
    </row>
    <row r="116" spans="1:13" ht="15.75" x14ac:dyDescent="0.25">
      <c r="A116" s="3">
        <v>6971</v>
      </c>
      <c r="B116" s="3">
        <v>7066</v>
      </c>
      <c r="C116" s="3" t="s">
        <v>292</v>
      </c>
      <c r="D116" s="3" t="s">
        <v>293</v>
      </c>
      <c r="E116" s="4">
        <v>6986</v>
      </c>
      <c r="F116" s="3" t="s">
        <v>294</v>
      </c>
      <c r="G116" s="3" t="s">
        <v>22</v>
      </c>
      <c r="H116" s="3" t="str">
        <f>VLOOKUP(B116,'[1]Select territorios'!$C:$L,10,0)</f>
        <v>9.6204</v>
      </c>
      <c r="I116" s="3" t="str">
        <f>VLOOKUP(B116,'[1]Select territorios'!$C:$M,11,0)</f>
        <v>-73.5934</v>
      </c>
      <c r="J116" s="5" t="s">
        <v>48</v>
      </c>
      <c r="K116" s="5">
        <v>1064795379</v>
      </c>
      <c r="L116" s="5">
        <v>3104688587</v>
      </c>
      <c r="M116" s="5" t="s">
        <v>49</v>
      </c>
    </row>
    <row r="117" spans="1:13" ht="15.75" x14ac:dyDescent="0.25">
      <c r="A117" s="3">
        <v>6971</v>
      </c>
      <c r="B117" s="3">
        <v>8587</v>
      </c>
      <c r="C117" s="3" t="s">
        <v>295</v>
      </c>
      <c r="D117" s="3" t="s">
        <v>296</v>
      </c>
      <c r="E117" s="4">
        <v>6977</v>
      </c>
      <c r="F117" s="3" t="s">
        <v>52</v>
      </c>
      <c r="G117" s="3" t="s">
        <v>27</v>
      </c>
      <c r="H117" s="3" t="str">
        <f>VLOOKUP(B117,'[1]Select territorios'!$C:$L,10,0)</f>
        <v>9.3603</v>
      </c>
      <c r="I117" s="3" t="str">
        <f>VLOOKUP(B117,'[1]Select territorios'!$C:$M,11,0)</f>
        <v>-73.5963</v>
      </c>
      <c r="J117" s="5" t="s">
        <v>48</v>
      </c>
      <c r="K117" s="5">
        <v>1064795379</v>
      </c>
      <c r="L117" s="5">
        <v>3104688587</v>
      </c>
      <c r="M117" s="5" t="s">
        <v>49</v>
      </c>
    </row>
    <row r="118" spans="1:13" ht="15.75" x14ac:dyDescent="0.25">
      <c r="A118" s="3">
        <v>6971</v>
      </c>
      <c r="B118" s="3">
        <v>8654</v>
      </c>
      <c r="C118" s="3" t="s">
        <v>297</v>
      </c>
      <c r="D118" s="3" t="s">
        <v>298</v>
      </c>
      <c r="E118" s="4">
        <v>6977</v>
      </c>
      <c r="F118" s="3" t="s">
        <v>52</v>
      </c>
      <c r="G118" s="3" t="s">
        <v>27</v>
      </c>
      <c r="H118" s="3" t="str">
        <f>VLOOKUP(B118,'[1]Select territorios'!$C:$L,10,0)</f>
        <v>9.4242</v>
      </c>
      <c r="I118" s="3" t="str">
        <f>VLOOKUP(B118,'[1]Select territorios'!$C:$M,11,0)</f>
        <v>-73.4114</v>
      </c>
      <c r="J118" s="5" t="s">
        <v>48</v>
      </c>
      <c r="K118" s="5">
        <v>1064795379</v>
      </c>
      <c r="L118" s="5">
        <v>3104688587</v>
      </c>
      <c r="M118" s="5" t="s">
        <v>49</v>
      </c>
    </row>
    <row r="119" spans="1:13" ht="15.75" x14ac:dyDescent="0.25">
      <c r="A119" s="3">
        <v>6971</v>
      </c>
      <c r="B119" s="3">
        <v>9155</v>
      </c>
      <c r="C119" s="3" t="s">
        <v>299</v>
      </c>
      <c r="D119" s="3" t="s">
        <v>300</v>
      </c>
      <c r="E119" s="4">
        <v>8561</v>
      </c>
      <c r="F119" s="3" t="s">
        <v>168</v>
      </c>
      <c r="G119" s="3" t="s">
        <v>16</v>
      </c>
      <c r="H119" s="3" t="str">
        <f>VLOOKUP(B119,'[1]Select territorios'!$C:$L,10,0)</f>
        <v>8.306913</v>
      </c>
      <c r="I119" s="3" t="str">
        <f>VLOOKUP(B119,'[1]Select territorios'!$C:$M,11,0)</f>
        <v>-73.61998</v>
      </c>
      <c r="J119" s="5" t="s">
        <v>107</v>
      </c>
      <c r="K119" s="5">
        <v>1005281494</v>
      </c>
      <c r="L119" s="5">
        <v>3158541035</v>
      </c>
      <c r="M119" s="5" t="s">
        <v>108</v>
      </c>
    </row>
    <row r="120" spans="1:13" ht="15.75" x14ac:dyDescent="0.25">
      <c r="A120" s="3">
        <v>6971</v>
      </c>
      <c r="B120" s="3">
        <v>8773</v>
      </c>
      <c r="C120" s="3" t="s">
        <v>301</v>
      </c>
      <c r="D120" s="3" t="s">
        <v>302</v>
      </c>
      <c r="E120" s="4">
        <v>6997</v>
      </c>
      <c r="F120" s="3" t="s">
        <v>88</v>
      </c>
      <c r="G120" s="3" t="s">
        <v>27</v>
      </c>
      <c r="H120" s="3" t="str">
        <f>VLOOKUP(B120,'[1]Select territorios'!$C:$L,10,0)</f>
        <v>10.3351</v>
      </c>
      <c r="I120" s="3" t="str">
        <f>VLOOKUP(B120,'[1]Select territorios'!$C:$M,11,0)</f>
        <v>-73.179</v>
      </c>
      <c r="J120" s="5" t="s">
        <v>17</v>
      </c>
      <c r="K120" s="5">
        <v>15173890</v>
      </c>
      <c r="L120" s="5">
        <v>3002039991</v>
      </c>
      <c r="M120" s="5" t="s">
        <v>18</v>
      </c>
    </row>
    <row r="121" spans="1:13" ht="15.75" x14ac:dyDescent="0.25">
      <c r="A121" s="3">
        <v>6971</v>
      </c>
      <c r="B121" s="3">
        <v>9098</v>
      </c>
      <c r="C121" s="3" t="s">
        <v>303</v>
      </c>
      <c r="D121" s="3" t="s">
        <v>304</v>
      </c>
      <c r="E121" s="4">
        <v>8554</v>
      </c>
      <c r="F121" s="3" t="s">
        <v>81</v>
      </c>
      <c r="G121" s="3" t="s">
        <v>16</v>
      </c>
      <c r="H121" s="3" t="str">
        <f>VLOOKUP(B121,'[1]Select territorios'!$C:$L,10,0)</f>
        <v>10.4509</v>
      </c>
      <c r="I121" s="3" t="str">
        <f>VLOOKUP(B121,'[1]Select territorios'!$C:$M,11,0)</f>
        <v>-73.2495</v>
      </c>
      <c r="J121" s="5" t="s">
        <v>40</v>
      </c>
      <c r="K121" s="5">
        <v>1003275622</v>
      </c>
      <c r="L121" s="5">
        <v>3218847746</v>
      </c>
      <c r="M121" s="5" t="s">
        <v>41</v>
      </c>
    </row>
    <row r="122" spans="1:13" ht="15.75" x14ac:dyDescent="0.25">
      <c r="A122" s="3">
        <v>6971</v>
      </c>
      <c r="B122" s="3">
        <v>8790</v>
      </c>
      <c r="C122" s="3" t="s">
        <v>305</v>
      </c>
      <c r="D122" s="3" t="s">
        <v>306</v>
      </c>
      <c r="E122" s="4">
        <v>7001</v>
      </c>
      <c r="F122" s="3" t="s">
        <v>55</v>
      </c>
      <c r="G122" s="3" t="s">
        <v>16</v>
      </c>
      <c r="H122" s="3" t="str">
        <f>VLOOKUP(B122,'[1]Select territorios'!$C:$L,10,0)</f>
        <v>10.47248</v>
      </c>
      <c r="I122" s="3" t="str">
        <f>VLOOKUP(B122,'[1]Select territorios'!$C:$M,11,0)</f>
        <v>-73.24614</v>
      </c>
      <c r="J122" s="5" t="s">
        <v>23</v>
      </c>
      <c r="K122" s="5">
        <v>1065600058</v>
      </c>
      <c r="L122" s="5">
        <v>3123009293</v>
      </c>
      <c r="M122" s="5" t="s">
        <v>24</v>
      </c>
    </row>
    <row r="123" spans="1:13" ht="15.75" x14ac:dyDescent="0.25">
      <c r="A123" s="3">
        <v>6971</v>
      </c>
      <c r="B123" s="3">
        <v>9006</v>
      </c>
      <c r="C123" s="3" t="s">
        <v>307</v>
      </c>
      <c r="D123" s="3" t="s">
        <v>308</v>
      </c>
      <c r="E123" s="4">
        <v>6983</v>
      </c>
      <c r="F123" s="3" t="s">
        <v>309</v>
      </c>
      <c r="G123" s="3" t="s">
        <v>27</v>
      </c>
      <c r="H123" s="3" t="str">
        <f>VLOOKUP(B123,'[1]Select territorios'!$C:$L,10,0)</f>
        <v>8.3896675</v>
      </c>
      <c r="I123" s="3" t="str">
        <f>VLOOKUP(B123,'[1]Select territorios'!$C:$M,11,0)</f>
        <v>-73.380207</v>
      </c>
      <c r="J123" s="5" t="s">
        <v>107</v>
      </c>
      <c r="K123" s="5">
        <v>1005281494</v>
      </c>
      <c r="L123" s="5">
        <v>3158541035</v>
      </c>
      <c r="M123" s="5" t="s">
        <v>108</v>
      </c>
    </row>
    <row r="124" spans="1:13" ht="15.75" x14ac:dyDescent="0.25">
      <c r="A124" s="3">
        <v>6971</v>
      </c>
      <c r="B124" s="3">
        <v>9079</v>
      </c>
      <c r="C124" s="3" t="s">
        <v>310</v>
      </c>
      <c r="D124" s="3" t="s">
        <v>311</v>
      </c>
      <c r="E124" s="4">
        <v>8552</v>
      </c>
      <c r="F124" s="3" t="s">
        <v>30</v>
      </c>
      <c r="G124" s="3" t="s">
        <v>16</v>
      </c>
      <c r="H124" s="3" t="str">
        <f>VLOOKUP(B124,'[1]Select territorios'!$C:$L,10,0)</f>
        <v>10.463719</v>
      </c>
      <c r="I124" s="3" t="str">
        <f>VLOOKUP(B124,'[1]Select territorios'!$C:$M,11,0)</f>
        <v>-73.265587</v>
      </c>
      <c r="J124" s="5" t="s">
        <v>17</v>
      </c>
      <c r="K124" s="5">
        <v>15173890</v>
      </c>
      <c r="L124" s="5">
        <v>3002039991</v>
      </c>
      <c r="M124" s="5" t="s">
        <v>18</v>
      </c>
    </row>
    <row r="125" spans="1:13" ht="15.75" x14ac:dyDescent="0.25">
      <c r="A125" s="3">
        <v>6971</v>
      </c>
      <c r="B125" s="3">
        <v>9171</v>
      </c>
      <c r="C125" s="3" t="s">
        <v>312</v>
      </c>
      <c r="D125" s="3" t="s">
        <v>313</v>
      </c>
      <c r="E125" s="4">
        <v>8556</v>
      </c>
      <c r="F125" s="3" t="s">
        <v>36</v>
      </c>
      <c r="G125" s="3" t="s">
        <v>16</v>
      </c>
      <c r="H125" s="3" t="str">
        <f>VLOOKUP(B125,'[1]Select territorios'!$C:$L,10,0)</f>
        <v>10.4759</v>
      </c>
      <c r="I125" s="3" t="str">
        <f>VLOOKUP(B125,'[1]Select territorios'!$C:$M,11,0)</f>
        <v>-73.2408</v>
      </c>
      <c r="J125" s="5" t="s">
        <v>23</v>
      </c>
      <c r="K125" s="5">
        <v>1065600058</v>
      </c>
      <c r="L125" s="5">
        <v>3123009293</v>
      </c>
      <c r="M125" s="5" t="s">
        <v>24</v>
      </c>
    </row>
    <row r="126" spans="1:13" ht="15.75" x14ac:dyDescent="0.25">
      <c r="A126" s="3">
        <v>6971</v>
      </c>
      <c r="B126" s="3">
        <v>17373</v>
      </c>
      <c r="C126" s="3" t="s">
        <v>314</v>
      </c>
      <c r="D126" s="3" t="s">
        <v>315</v>
      </c>
      <c r="E126" s="4">
        <v>18936</v>
      </c>
      <c r="F126" s="3" t="s">
        <v>21</v>
      </c>
      <c r="G126" s="3" t="s">
        <v>16</v>
      </c>
      <c r="H126" s="3" t="str">
        <f>VLOOKUP(B126,'[1]Select territorios'!$C:$L,10,0)</f>
        <v>10.6298</v>
      </c>
      <c r="I126" s="3" t="str">
        <f>VLOOKUP(B126,'[1]Select territorios'!$C:$M,11,0)</f>
        <v>-73.1287</v>
      </c>
      <c r="J126" s="5" t="s">
        <v>23</v>
      </c>
      <c r="K126" s="5">
        <v>1065600058</v>
      </c>
      <c r="L126" s="5">
        <v>3123009293</v>
      </c>
      <c r="M126" s="5" t="s">
        <v>24</v>
      </c>
    </row>
    <row r="127" spans="1:13" ht="15.75" x14ac:dyDescent="0.25">
      <c r="A127" s="3">
        <v>6971</v>
      </c>
      <c r="B127" s="3">
        <v>8399</v>
      </c>
      <c r="C127" s="3" t="s">
        <v>316</v>
      </c>
      <c r="D127" s="3" t="s">
        <v>317</v>
      </c>
      <c r="E127" s="4">
        <v>6999</v>
      </c>
      <c r="F127" s="3" t="s">
        <v>260</v>
      </c>
      <c r="G127" s="3" t="s">
        <v>27</v>
      </c>
      <c r="H127" s="3" t="str">
        <f>VLOOKUP(B127,'[1]Select territorios'!$C:$L,10,0)</f>
        <v>8.857646</v>
      </c>
      <c r="I127" s="3" t="str">
        <f>VLOOKUP(B127,'[1]Select territorios'!$C:$M,11,0)</f>
        <v>-73.815576</v>
      </c>
      <c r="J127" s="5" t="s">
        <v>71</v>
      </c>
      <c r="K127" s="5">
        <v>1065818056</v>
      </c>
      <c r="L127" s="5">
        <v>3145467066</v>
      </c>
      <c r="M127" s="5" t="s">
        <v>72</v>
      </c>
    </row>
    <row r="128" spans="1:13" ht="15.75" x14ac:dyDescent="0.25">
      <c r="A128" s="3">
        <v>6971</v>
      </c>
      <c r="B128" s="3">
        <v>13436</v>
      </c>
      <c r="C128" s="3" t="s">
        <v>318</v>
      </c>
      <c r="D128" s="3" t="s">
        <v>319</v>
      </c>
      <c r="E128" s="4">
        <v>6988</v>
      </c>
      <c r="F128" s="3" t="s">
        <v>227</v>
      </c>
      <c r="G128" s="3" t="s">
        <v>27</v>
      </c>
      <c r="H128" s="3" t="str">
        <f>VLOOKUP(B128,'[1]Select territorios'!$C:$L,10,0)</f>
        <v>10.392647</v>
      </c>
      <c r="I128" s="3" t="str">
        <f>VLOOKUP(B128,'[1]Select territorios'!$C:$M,11,0)</f>
        <v>-73.170345</v>
      </c>
      <c r="J128" s="5" t="s">
        <v>23</v>
      </c>
      <c r="K128" s="5">
        <v>1065600058</v>
      </c>
      <c r="L128" s="5">
        <v>3123009293</v>
      </c>
      <c r="M128" s="5" t="s">
        <v>24</v>
      </c>
    </row>
    <row r="129" spans="1:13" ht="15.75" x14ac:dyDescent="0.25">
      <c r="A129" s="3">
        <v>6971</v>
      </c>
      <c r="B129" s="3">
        <v>8825</v>
      </c>
      <c r="C129" s="3" t="s">
        <v>320</v>
      </c>
      <c r="D129" s="3" t="s">
        <v>321</v>
      </c>
      <c r="E129" s="4">
        <v>6977</v>
      </c>
      <c r="F129" s="3" t="s">
        <v>52</v>
      </c>
      <c r="G129" s="3" t="s">
        <v>27</v>
      </c>
      <c r="H129" s="3" t="str">
        <f>VLOOKUP(B129,'[1]Select territorios'!$C:$L,10,0)</f>
        <v>9.3705</v>
      </c>
      <c r="I129" s="3" t="str">
        <f>VLOOKUP(B129,'[1]Select territorios'!$C:$M,11,0)</f>
        <v>-73.5235</v>
      </c>
      <c r="J129" s="5" t="s">
        <v>48</v>
      </c>
      <c r="K129" s="5">
        <v>1064795379</v>
      </c>
      <c r="L129" s="5">
        <v>3104688587</v>
      </c>
      <c r="M129" s="5" t="s">
        <v>49</v>
      </c>
    </row>
    <row r="130" spans="1:13" ht="15.75" x14ac:dyDescent="0.25">
      <c r="A130" s="3">
        <v>6971</v>
      </c>
      <c r="B130" s="3">
        <v>9096</v>
      </c>
      <c r="C130" s="3" t="s">
        <v>322</v>
      </c>
      <c r="D130" s="3" t="s">
        <v>323</v>
      </c>
      <c r="E130" s="4">
        <v>17191</v>
      </c>
      <c r="F130" s="3" t="s">
        <v>186</v>
      </c>
      <c r="G130" s="3" t="s">
        <v>16</v>
      </c>
      <c r="H130" s="3" t="str">
        <f>VLOOKUP(B130,'[1]Select territorios'!$C:$L,10,0)</f>
        <v>10.4717</v>
      </c>
      <c r="I130" s="3" t="str">
        <f>VLOOKUP(B130,'[1]Select territorios'!$C:$M,11,0)</f>
        <v>-73.2854</v>
      </c>
      <c r="J130" s="5" t="s">
        <v>17</v>
      </c>
      <c r="K130" s="5">
        <v>15173890</v>
      </c>
      <c r="L130" s="5">
        <v>3002039991</v>
      </c>
      <c r="M130" s="5" t="s">
        <v>18</v>
      </c>
    </row>
    <row r="131" spans="1:13" ht="15.75" x14ac:dyDescent="0.25">
      <c r="A131" s="3">
        <v>6971</v>
      </c>
      <c r="B131" s="3">
        <v>44807</v>
      </c>
      <c r="C131" s="3" t="s">
        <v>324</v>
      </c>
      <c r="D131" s="3" t="s">
        <v>325</v>
      </c>
      <c r="E131" s="4">
        <v>44806</v>
      </c>
      <c r="F131" s="3" t="s">
        <v>326</v>
      </c>
      <c r="G131" s="3" t="s">
        <v>22</v>
      </c>
      <c r="H131" s="3" t="str">
        <f>VLOOKUP(B131,'[1]Select territorios'!$C:$L,10,0)</f>
        <v>10.349966</v>
      </c>
      <c r="I131" s="3" t="str">
        <f>VLOOKUP(B131,'[1]Select territorios'!$C:$M,11,0)</f>
        <v>-73.043995</v>
      </c>
      <c r="J131" s="5" t="s">
        <v>40</v>
      </c>
      <c r="K131" s="5">
        <v>1003275622</v>
      </c>
      <c r="L131" s="5">
        <v>3218847746</v>
      </c>
      <c r="M131" s="5" t="s">
        <v>41</v>
      </c>
    </row>
    <row r="132" spans="1:13" ht="15.75" x14ac:dyDescent="0.25">
      <c r="A132" s="3">
        <v>6971</v>
      </c>
      <c r="B132" s="3">
        <v>9120</v>
      </c>
      <c r="C132" s="3" t="s">
        <v>327</v>
      </c>
      <c r="D132" s="3" t="s">
        <v>328</v>
      </c>
      <c r="E132" s="4">
        <v>6978</v>
      </c>
      <c r="F132" s="3" t="s">
        <v>91</v>
      </c>
      <c r="G132" s="3" t="s">
        <v>27</v>
      </c>
      <c r="H132" s="3" t="str">
        <f>VLOOKUP(B132,'[1]Select territorios'!$C:$L,10,0)</f>
        <v>10.03712</v>
      </c>
      <c r="I132" s="3" t="str">
        <f>VLOOKUP(B132,'[1]Select territorios'!$C:$M,11,0)</f>
        <v>-73.23655</v>
      </c>
      <c r="J132" s="5" t="s">
        <v>58</v>
      </c>
      <c r="K132" s="5">
        <v>1193146338</v>
      </c>
      <c r="L132" s="5">
        <v>3202114923</v>
      </c>
      <c r="M132" s="5" t="s">
        <v>59</v>
      </c>
    </row>
    <row r="133" spans="1:13" ht="15.75" x14ac:dyDescent="0.25">
      <c r="A133" s="3">
        <v>6971</v>
      </c>
      <c r="B133" s="3">
        <v>9205</v>
      </c>
      <c r="C133" s="3" t="s">
        <v>329</v>
      </c>
      <c r="D133" s="3" t="s">
        <v>330</v>
      </c>
      <c r="E133" s="4">
        <v>9206</v>
      </c>
      <c r="F133" s="3" t="s">
        <v>33</v>
      </c>
      <c r="G133" s="3" t="s">
        <v>22</v>
      </c>
      <c r="H133" s="3" t="str">
        <f>VLOOKUP(B133,'[1]Select territorios'!$C:$L,10,0)</f>
        <v>10.45206667</v>
      </c>
      <c r="I133" s="3" t="str">
        <f>VLOOKUP(B133,'[1]Select territorios'!$C:$M,11,0)</f>
        <v>-73.26682422</v>
      </c>
      <c r="J133" s="5" t="s">
        <v>17</v>
      </c>
      <c r="K133" s="5">
        <v>15173890</v>
      </c>
      <c r="L133" s="5">
        <v>3002039991</v>
      </c>
      <c r="M133" s="5" t="s">
        <v>18</v>
      </c>
    </row>
    <row r="134" spans="1:13" ht="15.75" x14ac:dyDescent="0.25">
      <c r="A134" s="3">
        <v>6971</v>
      </c>
      <c r="B134" s="3">
        <v>9208</v>
      </c>
      <c r="C134" s="3" t="s">
        <v>331</v>
      </c>
      <c r="D134" s="3" t="s">
        <v>332</v>
      </c>
      <c r="E134" s="4">
        <v>7001</v>
      </c>
      <c r="F134" s="3" t="s">
        <v>55</v>
      </c>
      <c r="G134" s="3" t="s">
        <v>16</v>
      </c>
      <c r="H134" s="3" t="str">
        <f>VLOOKUP(B134,'[1]Select territorios'!$C:$L,10,0)</f>
        <v>10.4708</v>
      </c>
      <c r="I134" s="3" t="str">
        <f>VLOOKUP(B134,'[1]Select territorios'!$C:$M,11,0)</f>
        <v>-73.2491</v>
      </c>
      <c r="J134" s="5" t="s">
        <v>23</v>
      </c>
      <c r="K134" s="5">
        <v>1065600058</v>
      </c>
      <c r="L134" s="5">
        <v>3123009293</v>
      </c>
      <c r="M134" s="5" t="s">
        <v>24</v>
      </c>
    </row>
    <row r="135" spans="1:13" ht="15.75" x14ac:dyDescent="0.25">
      <c r="A135" s="3">
        <v>6971</v>
      </c>
      <c r="B135" s="3">
        <v>16816</v>
      </c>
      <c r="C135" s="3" t="s">
        <v>333</v>
      </c>
      <c r="D135" s="3" t="s">
        <v>334</v>
      </c>
      <c r="E135" s="4">
        <v>45386</v>
      </c>
      <c r="F135" s="3" t="s">
        <v>67</v>
      </c>
      <c r="G135" s="3" t="s">
        <v>27</v>
      </c>
      <c r="H135" s="3" t="str">
        <f>VLOOKUP(B135,'[1]Select territorios'!$C:$L,10,0)</f>
        <v>10.442633</v>
      </c>
      <c r="I135" s="3" t="str">
        <f>VLOOKUP(B135,'[1]Select territorios'!$C:$M,11,0)</f>
        <v>-73.264203</v>
      </c>
      <c r="J135" s="5" t="s">
        <v>40</v>
      </c>
      <c r="K135" s="5">
        <v>1003275622</v>
      </c>
      <c r="L135" s="5">
        <v>3218847746</v>
      </c>
      <c r="M135" s="5" t="s">
        <v>41</v>
      </c>
    </row>
    <row r="136" spans="1:13" ht="15.75" x14ac:dyDescent="0.25">
      <c r="A136" s="3">
        <v>6971</v>
      </c>
      <c r="B136" s="3">
        <v>7195</v>
      </c>
      <c r="C136" s="3" t="s">
        <v>335</v>
      </c>
      <c r="D136" s="3" t="s">
        <v>336</v>
      </c>
      <c r="E136" s="4">
        <v>8558</v>
      </c>
      <c r="F136" s="3" t="s">
        <v>62</v>
      </c>
      <c r="G136" s="3" t="s">
        <v>16</v>
      </c>
      <c r="H136" s="3" t="str">
        <f>VLOOKUP(B136,'[1]Select territorios'!$C:$L,10,0)</f>
        <v>10.472853</v>
      </c>
      <c r="I136" s="3" t="str">
        <f>VLOOKUP(B136,'[1]Select territorios'!$C:$M,11,0)</f>
        <v>-73.273666</v>
      </c>
      <c r="J136" s="5" t="s">
        <v>23</v>
      </c>
      <c r="K136" s="5">
        <v>1065600058</v>
      </c>
      <c r="L136" s="5">
        <v>3123009293</v>
      </c>
      <c r="M136" s="5" t="s">
        <v>24</v>
      </c>
    </row>
    <row r="137" spans="1:13" ht="15.75" x14ac:dyDescent="0.25">
      <c r="A137" s="3">
        <v>6971</v>
      </c>
      <c r="B137" s="3">
        <v>8362</v>
      </c>
      <c r="C137" s="3" t="s">
        <v>337</v>
      </c>
      <c r="D137" s="3" t="s">
        <v>338</v>
      </c>
      <c r="E137" s="4">
        <v>8558</v>
      </c>
      <c r="F137" s="3" t="s">
        <v>62</v>
      </c>
      <c r="G137" s="3" t="s">
        <v>22</v>
      </c>
      <c r="H137" s="3" t="str">
        <f>VLOOKUP(B137,'[1]Select territorios'!$C:$L,10,0)</f>
        <v>10.4808014</v>
      </c>
      <c r="I137" s="3" t="str">
        <f>VLOOKUP(B137,'[1]Select territorios'!$C:$M,11,0)</f>
        <v>-73.27221139</v>
      </c>
      <c r="J137" s="5" t="s">
        <v>23</v>
      </c>
      <c r="K137" s="5">
        <v>1065600058</v>
      </c>
      <c r="L137" s="5">
        <v>3123009293</v>
      </c>
      <c r="M137" s="5" t="s">
        <v>24</v>
      </c>
    </row>
    <row r="138" spans="1:13" ht="15.75" x14ac:dyDescent="0.25">
      <c r="A138" s="3">
        <v>6971</v>
      </c>
      <c r="B138" s="3">
        <v>9194</v>
      </c>
      <c r="C138" s="3" t="s">
        <v>339</v>
      </c>
      <c r="D138" s="3" t="s">
        <v>340</v>
      </c>
      <c r="E138" s="4">
        <v>8558</v>
      </c>
      <c r="F138" s="3" t="s">
        <v>62</v>
      </c>
      <c r="G138" s="3" t="s">
        <v>16</v>
      </c>
      <c r="H138" s="3" t="str">
        <f>VLOOKUP(B138,'[1]Select territorios'!$C:$L,10,0)</f>
        <v>10.4794838</v>
      </c>
      <c r="I138" s="3" t="str">
        <f>VLOOKUP(B138,'[1]Select territorios'!$C:$M,11,0)</f>
        <v>-73.27139401</v>
      </c>
      <c r="J138" s="5" t="s">
        <v>23</v>
      </c>
      <c r="K138" s="5">
        <v>1065600058</v>
      </c>
      <c r="L138" s="5">
        <v>3123009293</v>
      </c>
      <c r="M138" s="5" t="s">
        <v>24</v>
      </c>
    </row>
    <row r="139" spans="1:13" ht="15.75" x14ac:dyDescent="0.25">
      <c r="A139" s="3">
        <v>6971</v>
      </c>
      <c r="B139" s="3">
        <v>13356</v>
      </c>
      <c r="C139" s="3" t="s">
        <v>341</v>
      </c>
      <c r="D139" s="3" t="s">
        <v>342</v>
      </c>
      <c r="E139" s="4">
        <v>7001</v>
      </c>
      <c r="F139" s="3" t="s">
        <v>55</v>
      </c>
      <c r="G139" s="3" t="s">
        <v>16</v>
      </c>
      <c r="H139" s="3" t="str">
        <f>VLOOKUP(B139,'[1]Select territorios'!$C:$L,10,0)</f>
        <v>10.4721</v>
      </c>
      <c r="I139" s="3" t="str">
        <f>VLOOKUP(B139,'[1]Select territorios'!$C:$M,11,0)</f>
        <v>-73.2535</v>
      </c>
      <c r="J139" s="5" t="s">
        <v>23</v>
      </c>
      <c r="K139" s="5">
        <v>1065600058</v>
      </c>
      <c r="L139" s="5">
        <v>3123009293</v>
      </c>
      <c r="M139" s="5" t="s">
        <v>24</v>
      </c>
    </row>
    <row r="140" spans="1:13" ht="15.75" x14ac:dyDescent="0.25">
      <c r="A140" s="3">
        <v>6971</v>
      </c>
      <c r="B140" s="3">
        <v>16807</v>
      </c>
      <c r="C140" s="3" t="s">
        <v>343</v>
      </c>
      <c r="D140" s="3" t="s">
        <v>344</v>
      </c>
      <c r="E140" s="4">
        <v>45386</v>
      </c>
      <c r="F140" s="3" t="s">
        <v>67</v>
      </c>
      <c r="G140" s="3" t="s">
        <v>16</v>
      </c>
      <c r="H140" s="3" t="str">
        <f>VLOOKUP(B140,'[1]Select territorios'!$C:$L,10,0)</f>
        <v>10.4480277</v>
      </c>
      <c r="I140" s="3" t="str">
        <f>VLOOKUP(B140,'[1]Select territorios'!$C:$M,11,0)</f>
        <v>-73.256433</v>
      </c>
      <c r="J140" s="5" t="s">
        <v>40</v>
      </c>
      <c r="K140" s="5">
        <v>1003275622</v>
      </c>
      <c r="L140" s="5">
        <v>3218847746</v>
      </c>
      <c r="M140" s="5" t="s">
        <v>41</v>
      </c>
    </row>
    <row r="141" spans="1:13" ht="15.75" x14ac:dyDescent="0.25">
      <c r="A141" s="3">
        <v>6971</v>
      </c>
      <c r="B141" s="3">
        <v>7191</v>
      </c>
      <c r="C141" s="3" t="s">
        <v>345</v>
      </c>
      <c r="D141" s="3" t="s">
        <v>346</v>
      </c>
      <c r="E141" s="4">
        <v>8553</v>
      </c>
      <c r="F141" s="3" t="s">
        <v>15</v>
      </c>
      <c r="G141" s="3" t="s">
        <v>16</v>
      </c>
      <c r="H141" s="3" t="str">
        <f>VLOOKUP(B141,'[1]Select territorios'!$C:$L,10,0)</f>
        <v>10.47995</v>
      </c>
      <c r="I141" s="3" t="str">
        <f>VLOOKUP(B141,'[1]Select territorios'!$C:$M,11,0)</f>
        <v>-73.282063</v>
      </c>
      <c r="J141" s="5" t="s">
        <v>17</v>
      </c>
      <c r="K141" s="5">
        <v>15173890</v>
      </c>
      <c r="L141" s="5">
        <v>3002039991</v>
      </c>
      <c r="M141" s="5" t="s">
        <v>18</v>
      </c>
    </row>
    <row r="142" spans="1:13" ht="15.75" x14ac:dyDescent="0.25">
      <c r="A142" s="3">
        <v>6971</v>
      </c>
      <c r="B142" s="3">
        <v>9172</v>
      </c>
      <c r="C142" s="3" t="s">
        <v>347</v>
      </c>
      <c r="D142" s="3" t="s">
        <v>348</v>
      </c>
      <c r="E142" s="4">
        <v>17176</v>
      </c>
      <c r="F142" s="3" t="s">
        <v>189</v>
      </c>
      <c r="G142" s="3" t="s">
        <v>16</v>
      </c>
      <c r="H142" s="3" t="str">
        <f>VLOOKUP(B142,'[1]Select territorios'!$C:$L,10,0)</f>
        <v>10.4648</v>
      </c>
      <c r="I142" s="3" t="str">
        <f>VLOOKUP(B142,'[1]Select territorios'!$C:$M,11,0)</f>
        <v>-73.2359</v>
      </c>
      <c r="J142" s="5" t="s">
        <v>40</v>
      </c>
      <c r="K142" s="5">
        <v>1003275622</v>
      </c>
      <c r="L142" s="5">
        <v>3218847746</v>
      </c>
      <c r="M142" s="5" t="s">
        <v>41</v>
      </c>
    </row>
    <row r="143" spans="1:13" ht="15.75" x14ac:dyDescent="0.25">
      <c r="A143" s="3">
        <v>6971</v>
      </c>
      <c r="B143" s="3">
        <v>9179</v>
      </c>
      <c r="C143" s="3" t="s">
        <v>349</v>
      </c>
      <c r="D143" s="3" t="s">
        <v>350</v>
      </c>
      <c r="E143" s="4">
        <v>45388</v>
      </c>
      <c r="F143" s="3" t="s">
        <v>196</v>
      </c>
      <c r="G143" s="3" t="s">
        <v>16</v>
      </c>
      <c r="H143" s="3" t="str">
        <f>VLOOKUP(B143,'[1]Select territorios'!$C:$L,10,0)</f>
        <v>9.9685</v>
      </c>
      <c r="I143" s="3" t="str">
        <f>VLOOKUP(B143,'[1]Select territorios'!$C:$M,11,0)</f>
        <v>-73.8836</v>
      </c>
      <c r="J143" s="5" t="s">
        <v>48</v>
      </c>
      <c r="K143" s="5">
        <v>1064795379</v>
      </c>
      <c r="L143" s="5">
        <v>3104688587</v>
      </c>
      <c r="M143" s="5" t="s">
        <v>49</v>
      </c>
    </row>
    <row r="144" spans="1:13" ht="15.75" x14ac:dyDescent="0.25">
      <c r="A144" s="3">
        <v>6971</v>
      </c>
      <c r="B144" s="3">
        <v>9156</v>
      </c>
      <c r="C144" s="3" t="s">
        <v>351</v>
      </c>
      <c r="D144" s="3" t="s">
        <v>352</v>
      </c>
      <c r="E144" s="4">
        <v>8562</v>
      </c>
      <c r="F144" s="3" t="s">
        <v>213</v>
      </c>
      <c r="G144" s="3" t="s">
        <v>16</v>
      </c>
      <c r="H144" s="3" t="str">
        <f>VLOOKUP(B144,'[1]Select territorios'!$C:$L,10,0)</f>
        <v>8.310045</v>
      </c>
      <c r="I144" s="3" t="str">
        <f>VLOOKUP(B144,'[1]Select territorios'!$C:$M,11,0)</f>
        <v>-73.625766</v>
      </c>
      <c r="J144" s="5" t="s">
        <v>71</v>
      </c>
      <c r="K144" s="5">
        <v>1065818056</v>
      </c>
      <c r="L144" s="5">
        <v>3145467066</v>
      </c>
      <c r="M144" s="5" t="s">
        <v>72</v>
      </c>
    </row>
    <row r="145" spans="1:13" ht="15.75" x14ac:dyDescent="0.25">
      <c r="A145" s="3">
        <v>6971</v>
      </c>
      <c r="B145" s="3">
        <v>9106</v>
      </c>
      <c r="C145" s="3" t="s">
        <v>353</v>
      </c>
      <c r="D145" s="3" t="s">
        <v>354</v>
      </c>
      <c r="E145" s="4">
        <v>18935</v>
      </c>
      <c r="F145" s="3" t="s">
        <v>44</v>
      </c>
      <c r="G145" s="3" t="s">
        <v>27</v>
      </c>
      <c r="H145" s="3" t="str">
        <f>VLOOKUP(B145,'[1]Select territorios'!$C:$L,10,0)</f>
        <v>10.45915</v>
      </c>
      <c r="I145" s="3" t="str">
        <f>VLOOKUP(B145,'[1]Select territorios'!$C:$M,11,0)</f>
        <v>-73.2496</v>
      </c>
      <c r="J145" s="5" t="s">
        <v>40</v>
      </c>
      <c r="K145" s="5">
        <v>1003275622</v>
      </c>
      <c r="L145" s="5">
        <v>3218847746</v>
      </c>
      <c r="M145" s="5" t="s">
        <v>41</v>
      </c>
    </row>
    <row r="146" spans="1:13" ht="15.75" x14ac:dyDescent="0.25">
      <c r="A146" s="3">
        <v>6971</v>
      </c>
      <c r="B146" s="3">
        <v>9138</v>
      </c>
      <c r="C146" s="3" t="s">
        <v>355</v>
      </c>
      <c r="D146" s="3" t="s">
        <v>356</v>
      </c>
      <c r="E146" s="4">
        <v>8552</v>
      </c>
      <c r="F146" s="3" t="s">
        <v>30</v>
      </c>
      <c r="G146" s="3" t="s">
        <v>16</v>
      </c>
      <c r="H146" s="3" t="str">
        <f>VLOOKUP(B146,'[1]Select territorios'!$C:$L,10,0)</f>
        <v>10.461419</v>
      </c>
      <c r="I146" s="3" t="str">
        <f>VLOOKUP(B146,'[1]Select territorios'!$C:$M,11,0)</f>
        <v>-73.263254</v>
      </c>
      <c r="J146" s="5" t="s">
        <v>17</v>
      </c>
      <c r="K146" s="5">
        <v>15173890</v>
      </c>
      <c r="L146" s="5">
        <v>3002039991</v>
      </c>
      <c r="M146" s="5" t="s">
        <v>18</v>
      </c>
    </row>
    <row r="147" spans="1:13" ht="15.75" x14ac:dyDescent="0.25">
      <c r="A147" s="3">
        <v>6971</v>
      </c>
      <c r="B147" s="3">
        <v>9080</v>
      </c>
      <c r="C147" s="3" t="s">
        <v>357</v>
      </c>
      <c r="D147" s="3" t="s">
        <v>358</v>
      </c>
      <c r="E147" s="4">
        <v>9206</v>
      </c>
      <c r="F147" s="3" t="s">
        <v>33</v>
      </c>
      <c r="G147" s="3" t="s">
        <v>16</v>
      </c>
      <c r="H147" s="3" t="str">
        <f>VLOOKUP(B147,'[1]Select territorios'!$C:$L,10,0)</f>
        <v>10.448738</v>
      </c>
      <c r="I147" s="3" t="str">
        <f>VLOOKUP(B147,'[1]Select territorios'!$C:$M,11,0)</f>
        <v>-73.274652</v>
      </c>
      <c r="J147" s="5" t="s">
        <v>17</v>
      </c>
      <c r="K147" s="5">
        <v>15173890</v>
      </c>
      <c r="L147" s="5">
        <v>3002039991</v>
      </c>
      <c r="M147" s="5" t="s">
        <v>18</v>
      </c>
    </row>
    <row r="148" spans="1:13" ht="15.75" x14ac:dyDescent="0.25">
      <c r="A148" s="3">
        <v>6971</v>
      </c>
      <c r="B148" s="3">
        <v>16817</v>
      </c>
      <c r="C148" s="3" t="s">
        <v>359</v>
      </c>
      <c r="D148" s="3" t="s">
        <v>360</v>
      </c>
      <c r="E148" s="4">
        <v>23794</v>
      </c>
      <c r="F148" s="3" t="s">
        <v>242</v>
      </c>
      <c r="G148" s="3" t="s">
        <v>16</v>
      </c>
      <c r="H148" s="3" t="str">
        <f>VLOOKUP(B148,'[1]Select territorios'!$C:$L,10,0)</f>
        <v>10.487599</v>
      </c>
      <c r="I148" s="3" t="str">
        <f>VLOOKUP(B148,'[1]Select territorios'!$C:$M,11,0)</f>
        <v>-73.281888</v>
      </c>
      <c r="J148" s="5" t="s">
        <v>17</v>
      </c>
      <c r="K148" s="5">
        <v>15173890</v>
      </c>
      <c r="L148" s="5">
        <v>3002039991</v>
      </c>
      <c r="M148" s="5" t="s">
        <v>18</v>
      </c>
    </row>
    <row r="149" spans="1:13" ht="15.75" x14ac:dyDescent="0.25">
      <c r="A149" s="3">
        <v>6971</v>
      </c>
      <c r="B149" s="3">
        <v>9277</v>
      </c>
      <c r="C149" s="3" t="s">
        <v>34</v>
      </c>
      <c r="D149" s="3" t="s">
        <v>361</v>
      </c>
      <c r="E149" s="4">
        <v>8556</v>
      </c>
      <c r="F149" s="3" t="s">
        <v>36</v>
      </c>
      <c r="G149" s="3" t="s">
        <v>16</v>
      </c>
      <c r="H149" s="3" t="str">
        <f>VLOOKUP(B149,'[1]Select territorios'!$C:$L,10,0)</f>
        <v>10.473</v>
      </c>
      <c r="I149" s="3" t="str">
        <f>VLOOKUP(B149,'[1]Select territorios'!$C:$M,11,0)</f>
        <v>-73.2433</v>
      </c>
      <c r="J149" s="5" t="s">
        <v>23</v>
      </c>
      <c r="K149" s="5">
        <v>1065600058</v>
      </c>
      <c r="L149" s="5">
        <v>3123009293</v>
      </c>
      <c r="M149" s="5" t="s">
        <v>24</v>
      </c>
    </row>
    <row r="150" spans="1:13" ht="15.75" x14ac:dyDescent="0.25">
      <c r="A150" s="3">
        <v>6971</v>
      </c>
      <c r="B150" s="3">
        <v>7116</v>
      </c>
      <c r="C150" s="3" t="s">
        <v>362</v>
      </c>
      <c r="D150" s="3" t="s">
        <v>363</v>
      </c>
      <c r="E150" s="4">
        <v>8556</v>
      </c>
      <c r="F150" s="3" t="s">
        <v>36</v>
      </c>
      <c r="G150" s="3" t="s">
        <v>27</v>
      </c>
      <c r="H150" s="3" t="str">
        <f>VLOOKUP(B150,'[1]Select territorios'!$C:$L,10,0)</f>
        <v>10.4741</v>
      </c>
      <c r="I150" s="3" t="str">
        <f>VLOOKUP(B150,'[1]Select territorios'!$C:$M,11,0)</f>
        <v>-73.2456</v>
      </c>
      <c r="J150" s="5" t="s">
        <v>23</v>
      </c>
      <c r="K150" s="5">
        <v>1065600058</v>
      </c>
      <c r="L150" s="5">
        <v>3123009293</v>
      </c>
      <c r="M150" s="5" t="s">
        <v>24</v>
      </c>
    </row>
    <row r="151" spans="1:13" ht="15.75" x14ac:dyDescent="0.25">
      <c r="A151" s="3">
        <v>6971</v>
      </c>
      <c r="B151" s="3">
        <v>13522</v>
      </c>
      <c r="C151" s="3" t="s">
        <v>364</v>
      </c>
      <c r="D151" s="3" t="s">
        <v>365</v>
      </c>
      <c r="E151" s="4">
        <v>8558</v>
      </c>
      <c r="F151" s="3" t="s">
        <v>62</v>
      </c>
      <c r="G151" s="3" t="s">
        <v>27</v>
      </c>
      <c r="H151" s="3" t="str">
        <f>VLOOKUP(B151,'[1]Select territorios'!$C:$L,10,0)</f>
        <v>10.478985</v>
      </c>
      <c r="I151" s="3" t="str">
        <f>VLOOKUP(B151,'[1]Select territorios'!$C:$M,11,0)</f>
        <v>-73.266618</v>
      </c>
      <c r="J151" s="5" t="s">
        <v>23</v>
      </c>
      <c r="K151" s="5">
        <v>1065600058</v>
      </c>
      <c r="L151" s="5">
        <v>3123009293</v>
      </c>
      <c r="M151" s="5" t="s">
        <v>24</v>
      </c>
    </row>
    <row r="152" spans="1:13" ht="15.75" x14ac:dyDescent="0.25">
      <c r="A152" s="3">
        <v>6971</v>
      </c>
      <c r="B152" s="3">
        <v>17585</v>
      </c>
      <c r="C152" s="3" t="s">
        <v>366</v>
      </c>
      <c r="D152" s="3" t="s">
        <v>367</v>
      </c>
      <c r="E152" s="4">
        <v>18936</v>
      </c>
      <c r="F152" s="3" t="s">
        <v>21</v>
      </c>
      <c r="G152" s="3" t="s">
        <v>27</v>
      </c>
      <c r="H152" s="3" t="str">
        <f>VLOOKUP(B152,'[1]Select territorios'!$C:$L,10,0)</f>
        <v>10.6088</v>
      </c>
      <c r="I152" s="3" t="str">
        <f>VLOOKUP(B152,'[1]Select territorios'!$C:$M,11,0)</f>
        <v>-73.224872</v>
      </c>
      <c r="J152" s="5" t="s">
        <v>23</v>
      </c>
      <c r="K152" s="5">
        <v>1065600058</v>
      </c>
      <c r="L152" s="5">
        <v>3123009293</v>
      </c>
      <c r="M152" s="5" t="s">
        <v>24</v>
      </c>
    </row>
    <row r="153" spans="1:13" ht="15.75" x14ac:dyDescent="0.25">
      <c r="A153" s="3">
        <v>6971</v>
      </c>
      <c r="B153" s="3">
        <v>7062</v>
      </c>
      <c r="C153" s="3" t="s">
        <v>368</v>
      </c>
      <c r="D153" s="3" t="s">
        <v>369</v>
      </c>
      <c r="E153" s="4">
        <v>6993</v>
      </c>
      <c r="F153" s="3" t="s">
        <v>370</v>
      </c>
      <c r="G153" s="3" t="s">
        <v>22</v>
      </c>
      <c r="H153" s="3" t="str">
        <f>VLOOKUP(B153,'[1]Select territorios'!$C:$L,10,0)</f>
        <v>10.412562</v>
      </c>
      <c r="I153" s="3" t="str">
        <f>VLOOKUP(B153,'[1]Select territorios'!$C:$M,11,0)</f>
        <v>-73.590992</v>
      </c>
      <c r="J153" s="5" t="s">
        <v>40</v>
      </c>
      <c r="K153" s="5">
        <v>1003275622</v>
      </c>
      <c r="L153" s="5">
        <v>3218847746</v>
      </c>
      <c r="M153" s="5" t="s">
        <v>41</v>
      </c>
    </row>
    <row r="154" spans="1:13" ht="15.75" x14ac:dyDescent="0.25">
      <c r="A154" s="3">
        <v>6971</v>
      </c>
      <c r="B154" s="3">
        <v>9046</v>
      </c>
      <c r="C154" s="3" t="s">
        <v>371</v>
      </c>
      <c r="D154" s="3" t="s">
        <v>372</v>
      </c>
      <c r="E154" s="4">
        <v>6988</v>
      </c>
      <c r="F154" s="3" t="s">
        <v>227</v>
      </c>
      <c r="G154" s="3" t="s">
        <v>16</v>
      </c>
      <c r="H154" s="3" t="str">
        <f>VLOOKUP(B154,'[1]Select territorios'!$C:$L,10,0)</f>
        <v>10.386522</v>
      </c>
      <c r="I154" s="3" t="str">
        <f>VLOOKUP(B154,'[1]Select territorios'!$C:$M,11,0)</f>
        <v>-73.173148</v>
      </c>
      <c r="J154" s="5" t="s">
        <v>23</v>
      </c>
      <c r="K154" s="5">
        <v>1065600058</v>
      </c>
      <c r="L154" s="5">
        <v>3123009293</v>
      </c>
      <c r="M154" s="5" t="s">
        <v>24</v>
      </c>
    </row>
    <row r="155" spans="1:13" ht="15.75" x14ac:dyDescent="0.25">
      <c r="A155" s="3">
        <v>6971</v>
      </c>
      <c r="B155" s="3">
        <v>8262</v>
      </c>
      <c r="C155" s="3" t="s">
        <v>373</v>
      </c>
      <c r="D155" s="3" t="s">
        <v>374</v>
      </c>
      <c r="E155" s="4">
        <v>6981</v>
      </c>
      <c r="F155" s="3" t="s">
        <v>47</v>
      </c>
      <c r="G155" s="3" t="s">
        <v>16</v>
      </c>
      <c r="H155" s="3" t="str">
        <f>VLOOKUP(B155,'[1]Select territorios'!$C:$L,10,0)</f>
        <v>9.7403</v>
      </c>
      <c r="I155" s="3" t="str">
        <f>VLOOKUP(B155,'[1]Select territorios'!$C:$M,11,0)</f>
        <v>-73.7103</v>
      </c>
      <c r="J155" s="5" t="s">
        <v>48</v>
      </c>
      <c r="K155" s="5">
        <v>1064795379</v>
      </c>
      <c r="L155" s="5">
        <v>3104688587</v>
      </c>
      <c r="M155" s="5" t="s">
        <v>49</v>
      </c>
    </row>
    <row r="156" spans="1:13" ht="15.75" x14ac:dyDescent="0.25">
      <c r="A156" s="3">
        <v>6971</v>
      </c>
      <c r="B156" s="3">
        <v>9189</v>
      </c>
      <c r="C156" s="3" t="s">
        <v>375</v>
      </c>
      <c r="D156" s="3" t="s">
        <v>376</v>
      </c>
      <c r="E156" s="4">
        <v>42463</v>
      </c>
      <c r="F156" s="3" t="s">
        <v>377</v>
      </c>
      <c r="G156" s="3" t="s">
        <v>16</v>
      </c>
      <c r="H156" s="3" t="str">
        <f>VLOOKUP(B156,'[1]Select territorios'!$C:$L,10,0)</f>
        <v>10.032351</v>
      </c>
      <c r="I156" s="3" t="str">
        <f>VLOOKUP(B156,'[1]Select territorios'!$C:$M,11,0)</f>
        <v>-73.23554</v>
      </c>
      <c r="J156" s="5" t="s">
        <v>58</v>
      </c>
      <c r="K156" s="5">
        <v>1193146338</v>
      </c>
      <c r="L156" s="5">
        <v>3202114923</v>
      </c>
      <c r="M156" s="5" t="s">
        <v>59</v>
      </c>
    </row>
    <row r="157" spans="1:13" ht="15.75" x14ac:dyDescent="0.25">
      <c r="A157" s="3">
        <v>6971</v>
      </c>
      <c r="B157" s="3">
        <v>13528</v>
      </c>
      <c r="C157" s="3" t="s">
        <v>378</v>
      </c>
      <c r="D157" s="3" t="s">
        <v>379</v>
      </c>
      <c r="E157" s="4">
        <v>9206</v>
      </c>
      <c r="F157" s="3" t="s">
        <v>33</v>
      </c>
      <c r="G157" s="3" t="s">
        <v>27</v>
      </c>
      <c r="H157" s="3" t="str">
        <f>VLOOKUP(B157,'[1]Select territorios'!$C:$L,10,0)</f>
        <v>10.452426</v>
      </c>
      <c r="I157" s="3" t="str">
        <f>VLOOKUP(B157,'[1]Select territorios'!$C:$M,11,0)</f>
        <v>-73.267629</v>
      </c>
      <c r="J157" s="5" t="s">
        <v>17</v>
      </c>
      <c r="K157" s="5">
        <v>15173890</v>
      </c>
      <c r="L157" s="5">
        <v>3002039991</v>
      </c>
      <c r="M157" s="5" t="s">
        <v>18</v>
      </c>
    </row>
    <row r="158" spans="1:13" ht="15.75" x14ac:dyDescent="0.25">
      <c r="A158" s="3">
        <v>6971</v>
      </c>
      <c r="B158" s="3">
        <v>9099</v>
      </c>
      <c r="C158" s="3" t="s">
        <v>380</v>
      </c>
      <c r="D158" s="3" t="s">
        <v>381</v>
      </c>
      <c r="E158" s="4">
        <v>9206</v>
      </c>
      <c r="F158" s="3" t="s">
        <v>33</v>
      </c>
      <c r="G158" s="3" t="s">
        <v>16</v>
      </c>
      <c r="H158" s="3" t="str">
        <f>VLOOKUP(B158,'[1]Select territorios'!$C:$L,10,0)</f>
        <v>10.451929</v>
      </c>
      <c r="I158" s="3" t="str">
        <f>VLOOKUP(B158,'[1]Select territorios'!$C:$M,11,0)</f>
        <v>-73.268378</v>
      </c>
      <c r="J158" s="5" t="s">
        <v>17</v>
      </c>
      <c r="K158" s="5">
        <v>15173890</v>
      </c>
      <c r="L158" s="5">
        <v>3002039991</v>
      </c>
      <c r="M158" s="5" t="s">
        <v>18</v>
      </c>
    </row>
    <row r="159" spans="1:13" ht="15.75" x14ac:dyDescent="0.25">
      <c r="A159" s="3">
        <v>6971</v>
      </c>
      <c r="B159" s="3">
        <v>11166</v>
      </c>
      <c r="C159" s="3" t="s">
        <v>382</v>
      </c>
      <c r="D159" s="3" t="s">
        <v>383</v>
      </c>
      <c r="E159" s="4">
        <v>6980</v>
      </c>
      <c r="F159" s="3" t="s">
        <v>384</v>
      </c>
      <c r="G159" s="3" t="s">
        <v>16</v>
      </c>
      <c r="H159" s="3" t="str">
        <f>VLOOKUP(B159,'[1]Select territorios'!$C:$L,10,0)</f>
        <v>10.14927</v>
      </c>
      <c r="I159" s="3" t="str">
        <f>VLOOKUP(B159,'[1]Select territorios'!$C:$M,11,0)</f>
        <v>-73.96068</v>
      </c>
      <c r="J159" s="5" t="s">
        <v>48</v>
      </c>
      <c r="K159" s="5">
        <v>1064795379</v>
      </c>
      <c r="L159" s="5">
        <v>3104688587</v>
      </c>
      <c r="M159" s="5" t="s">
        <v>49</v>
      </c>
    </row>
    <row r="160" spans="1:13" ht="15.75" x14ac:dyDescent="0.25">
      <c r="A160" s="3">
        <v>6971</v>
      </c>
      <c r="B160" s="3">
        <v>16881</v>
      </c>
      <c r="C160" s="3" t="s">
        <v>385</v>
      </c>
      <c r="D160" s="3" t="s">
        <v>386</v>
      </c>
      <c r="E160" s="4">
        <v>6996</v>
      </c>
      <c r="F160" s="3" t="s">
        <v>113</v>
      </c>
      <c r="G160" s="3" t="s">
        <v>16</v>
      </c>
      <c r="H160" s="3" t="str">
        <f>VLOOKUP(B160,'[1]Select territorios'!$C:$L,10,0)</f>
        <v>7.75992</v>
      </c>
      <c r="I160" s="3" t="str">
        <f>VLOOKUP(B160,'[1]Select territorios'!$C:$M,11,0)</f>
        <v>-73.39254</v>
      </c>
      <c r="J160" s="5" t="s">
        <v>107</v>
      </c>
      <c r="K160" s="5">
        <v>1005281494</v>
      </c>
      <c r="L160" s="5">
        <v>3158541035</v>
      </c>
      <c r="M160" s="5" t="s">
        <v>108</v>
      </c>
    </row>
    <row r="161" spans="1:13" ht="15.75" x14ac:dyDescent="0.25">
      <c r="A161" s="3">
        <v>6971</v>
      </c>
      <c r="B161" s="3">
        <v>13421</v>
      </c>
      <c r="C161" s="3" t="s">
        <v>387</v>
      </c>
      <c r="D161" s="3" t="s">
        <v>388</v>
      </c>
      <c r="E161" s="4">
        <v>8562</v>
      </c>
      <c r="F161" s="3" t="s">
        <v>213</v>
      </c>
      <c r="G161" s="3" t="s">
        <v>27</v>
      </c>
      <c r="H161" s="3" t="str">
        <f>VLOOKUP(B161,'[1]Select territorios'!$C:$L,10,0)</f>
        <v>8.3067</v>
      </c>
      <c r="I161" s="3" t="str">
        <f>VLOOKUP(B161,'[1]Select territorios'!$C:$M,11,0)</f>
        <v>-73.628</v>
      </c>
      <c r="J161" s="5" t="s">
        <v>71</v>
      </c>
      <c r="K161" s="5">
        <v>1065818056</v>
      </c>
      <c r="L161" s="5">
        <v>3145467066</v>
      </c>
      <c r="M161" s="5" t="s">
        <v>72</v>
      </c>
    </row>
    <row r="162" spans="1:13" ht="15.75" x14ac:dyDescent="0.25">
      <c r="A162" s="3">
        <v>6971</v>
      </c>
      <c r="B162" s="3">
        <v>16806</v>
      </c>
      <c r="C162" s="3" t="s">
        <v>389</v>
      </c>
      <c r="D162" s="3" t="s">
        <v>390</v>
      </c>
      <c r="E162" s="4">
        <v>45386</v>
      </c>
      <c r="F162" s="3" t="s">
        <v>67</v>
      </c>
      <c r="G162" s="3" t="s">
        <v>16</v>
      </c>
      <c r="H162" s="3" t="str">
        <f>VLOOKUP(B162,'[1]Select territorios'!$C:$L,10,0)</f>
        <v>10.442313</v>
      </c>
      <c r="I162" s="3" t="str">
        <f>VLOOKUP(B162,'[1]Select territorios'!$C:$M,11,0)</f>
        <v>-73.252603</v>
      </c>
      <c r="J162" s="5" t="s">
        <v>40</v>
      </c>
      <c r="K162" s="5">
        <v>1003275622</v>
      </c>
      <c r="L162" s="5">
        <v>3218847746</v>
      </c>
      <c r="M162" s="5" t="s">
        <v>41</v>
      </c>
    </row>
    <row r="163" spans="1:13" ht="15.75" x14ac:dyDescent="0.25">
      <c r="A163" s="3">
        <v>6971</v>
      </c>
      <c r="B163" s="3">
        <v>16811</v>
      </c>
      <c r="C163" s="3" t="s">
        <v>391</v>
      </c>
      <c r="D163" s="3" t="s">
        <v>392</v>
      </c>
      <c r="E163" s="4">
        <v>18936</v>
      </c>
      <c r="F163" s="3" t="s">
        <v>21</v>
      </c>
      <c r="G163" s="3" t="s">
        <v>16</v>
      </c>
      <c r="H163" s="3" t="str">
        <f>VLOOKUP(B163,'[1]Select territorios'!$C:$L,10,0)</f>
        <v>10.702653</v>
      </c>
      <c r="I163" s="3" t="str">
        <f>VLOOKUP(B163,'[1]Select territorios'!$C:$M,11,0)</f>
        <v>-73.291802</v>
      </c>
      <c r="J163" s="5" t="s">
        <v>23</v>
      </c>
      <c r="K163" s="5">
        <v>1065600058</v>
      </c>
      <c r="L163" s="5">
        <v>3123009293</v>
      </c>
      <c r="M163" s="5" t="s">
        <v>24</v>
      </c>
    </row>
    <row r="164" spans="1:13" ht="15.75" x14ac:dyDescent="0.25">
      <c r="A164" s="3">
        <v>6971</v>
      </c>
      <c r="B164" s="3">
        <v>13506</v>
      </c>
      <c r="C164" s="3" t="s">
        <v>393</v>
      </c>
      <c r="D164" s="3" t="s">
        <v>394</v>
      </c>
      <c r="E164" s="4">
        <v>6986</v>
      </c>
      <c r="F164" s="3" t="s">
        <v>294</v>
      </c>
      <c r="G164" s="3" t="s">
        <v>27</v>
      </c>
      <c r="H164" s="3" t="str">
        <f>VLOOKUP(B164,'[1]Select territorios'!$C:$L,10,0)</f>
        <v>9.6231</v>
      </c>
      <c r="I164" s="3" t="str">
        <f>VLOOKUP(B164,'[1]Select territorios'!$C:$M,11,0)</f>
        <v>-73.5873</v>
      </c>
      <c r="J164" s="5" t="s">
        <v>48</v>
      </c>
      <c r="K164" s="5">
        <v>1064795379</v>
      </c>
      <c r="L164" s="5">
        <v>3104688587</v>
      </c>
      <c r="M164" s="5" t="s">
        <v>49</v>
      </c>
    </row>
    <row r="165" spans="1:13" ht="15.75" x14ac:dyDescent="0.25">
      <c r="A165" s="3">
        <v>6971</v>
      </c>
      <c r="B165" s="3">
        <v>13504</v>
      </c>
      <c r="C165" s="3" t="s">
        <v>395</v>
      </c>
      <c r="D165" s="3" t="s">
        <v>396</v>
      </c>
      <c r="E165" s="4">
        <v>8562</v>
      </c>
      <c r="F165" s="3" t="s">
        <v>118</v>
      </c>
      <c r="G165" s="3" t="s">
        <v>27</v>
      </c>
      <c r="H165" s="3" t="str">
        <f>VLOOKUP(B165,'[1]Select territorios'!$C:$L,10,0)</f>
        <v>8.312321</v>
      </c>
      <c r="I165" s="3" t="str">
        <f>VLOOKUP(B165,'[1]Select territorios'!$C:$M,11,0)</f>
        <v>-73.625475</v>
      </c>
      <c r="J165" s="5" t="s">
        <v>71</v>
      </c>
      <c r="K165" s="5">
        <v>1065818056</v>
      </c>
      <c r="L165" s="5">
        <v>3145467066</v>
      </c>
      <c r="M165" s="5" t="s">
        <v>72</v>
      </c>
    </row>
    <row r="166" spans="1:13" ht="15.75" x14ac:dyDescent="0.25">
      <c r="A166" s="3">
        <v>6971</v>
      </c>
      <c r="B166" s="3">
        <v>16880</v>
      </c>
      <c r="C166" s="3" t="s">
        <v>397</v>
      </c>
      <c r="D166" s="3" t="s">
        <v>398</v>
      </c>
      <c r="E166" s="4">
        <v>6988</v>
      </c>
      <c r="F166" s="3" t="s">
        <v>227</v>
      </c>
      <c r="G166" s="3" t="s">
        <v>16</v>
      </c>
      <c r="H166" s="3" t="str">
        <f>VLOOKUP(B166,'[1]Select territorios'!$C:$L,10,0)</f>
        <v>10.387427</v>
      </c>
      <c r="I166" s="3" t="str">
        <f>VLOOKUP(B166,'[1]Select territorios'!$C:$M,11,0)</f>
        <v>-73.170323</v>
      </c>
      <c r="J166" s="5" t="s">
        <v>23</v>
      </c>
      <c r="K166" s="5">
        <v>1065600058</v>
      </c>
      <c r="L166" s="5">
        <v>3123009293</v>
      </c>
      <c r="M166" s="5" t="s">
        <v>24</v>
      </c>
    </row>
    <row r="167" spans="1:13" ht="15.75" x14ac:dyDescent="0.25">
      <c r="A167" s="3">
        <v>6971</v>
      </c>
      <c r="B167" s="3">
        <v>16899</v>
      </c>
      <c r="C167" s="3" t="s">
        <v>399</v>
      </c>
      <c r="D167" s="3" t="s">
        <v>400</v>
      </c>
      <c r="E167" s="4">
        <v>6975</v>
      </c>
      <c r="F167" s="3" t="s">
        <v>78</v>
      </c>
      <c r="G167" s="3" t="s">
        <v>16</v>
      </c>
      <c r="H167" s="3" t="str">
        <f>VLOOKUP(B167,'[1]Select territorios'!$C:$L,10,0)</f>
        <v>9.9738</v>
      </c>
      <c r="I167" s="3" t="str">
        <f>VLOOKUP(B167,'[1]Select territorios'!$C:$M,11,0)</f>
        <v>-73.8866</v>
      </c>
      <c r="J167" s="5" t="s">
        <v>48</v>
      </c>
      <c r="K167" s="5">
        <v>1064795379</v>
      </c>
      <c r="L167" s="5">
        <v>3104688587</v>
      </c>
      <c r="M167" s="5" t="s">
        <v>49</v>
      </c>
    </row>
    <row r="168" spans="1:13" ht="15.75" x14ac:dyDescent="0.25">
      <c r="A168" s="3">
        <v>6971</v>
      </c>
      <c r="B168" s="3">
        <v>16921</v>
      </c>
      <c r="C168" s="3" t="s">
        <v>401</v>
      </c>
      <c r="D168" s="3" t="s">
        <v>402</v>
      </c>
      <c r="E168" s="4">
        <v>6976</v>
      </c>
      <c r="F168" s="3" t="s">
        <v>96</v>
      </c>
      <c r="G168" s="3" t="s">
        <v>16</v>
      </c>
      <c r="H168" s="3" t="str">
        <f>VLOOKUP(B168,'[1]Select territorios'!$C:$L,10,0)</f>
        <v>9.352173</v>
      </c>
      <c r="I168" s="3" t="str">
        <f>VLOOKUP(B168,'[1]Select territorios'!$C:$M,11,0)</f>
        <v>-73.884799</v>
      </c>
      <c r="J168" s="5" t="s">
        <v>48</v>
      </c>
      <c r="K168" s="5">
        <v>1064795379</v>
      </c>
      <c r="L168" s="5">
        <v>3104688587</v>
      </c>
      <c r="M168" s="5" t="s">
        <v>49</v>
      </c>
    </row>
    <row r="169" spans="1:13" ht="15.75" x14ac:dyDescent="0.25">
      <c r="A169" s="3">
        <v>6971</v>
      </c>
      <c r="B169" s="3">
        <v>17178</v>
      </c>
      <c r="C169" s="3" t="s">
        <v>403</v>
      </c>
      <c r="D169" s="3" t="s">
        <v>404</v>
      </c>
      <c r="E169" s="4">
        <v>17176</v>
      </c>
      <c r="F169" s="3" t="s">
        <v>189</v>
      </c>
      <c r="G169" s="3" t="s">
        <v>22</v>
      </c>
      <c r="H169" s="3" t="str">
        <f>VLOOKUP(B169,'[1]Select territorios'!$C:$L,10,0)</f>
        <v>10.456</v>
      </c>
      <c r="I169" s="3" t="str">
        <f>VLOOKUP(B169,'[1]Select territorios'!$C:$M,11,0)</f>
        <v>-73.2327</v>
      </c>
      <c r="J169" s="5" t="s">
        <v>40</v>
      </c>
      <c r="K169" s="5">
        <v>1003275622</v>
      </c>
      <c r="L169" s="5">
        <v>3218847746</v>
      </c>
      <c r="M169" s="5" t="s">
        <v>41</v>
      </c>
    </row>
    <row r="170" spans="1:13" ht="15.75" x14ac:dyDescent="0.25">
      <c r="A170" s="3">
        <v>6971</v>
      </c>
      <c r="B170" s="3">
        <v>16994</v>
      </c>
      <c r="C170" s="3" t="s">
        <v>405</v>
      </c>
      <c r="D170" s="3" t="s">
        <v>406</v>
      </c>
      <c r="E170" s="4">
        <v>18936</v>
      </c>
      <c r="F170" s="3" t="s">
        <v>21</v>
      </c>
      <c r="G170" s="3" t="s">
        <v>27</v>
      </c>
      <c r="H170" s="3" t="str">
        <f>VLOOKUP(B170,'[1]Select territorios'!$C:$L,10,0)</f>
        <v>10.482592</v>
      </c>
      <c r="I170" s="3" t="str">
        <f>VLOOKUP(B170,'[1]Select territorios'!$C:$M,11,0)</f>
        <v>-73.262133</v>
      </c>
      <c r="J170" s="5" t="s">
        <v>23</v>
      </c>
      <c r="K170" s="5">
        <v>1065600058</v>
      </c>
      <c r="L170" s="5">
        <v>3123009293</v>
      </c>
      <c r="M170" s="5" t="s">
        <v>24</v>
      </c>
    </row>
    <row r="171" spans="1:13" ht="15.75" x14ac:dyDescent="0.25">
      <c r="A171" s="3">
        <v>6971</v>
      </c>
      <c r="B171" s="3">
        <v>17156</v>
      </c>
      <c r="C171" s="3" t="s">
        <v>407</v>
      </c>
      <c r="D171" s="3" t="s">
        <v>408</v>
      </c>
      <c r="E171" s="4">
        <v>6988</v>
      </c>
      <c r="F171" s="3" t="s">
        <v>227</v>
      </c>
      <c r="G171" s="3" t="s">
        <v>27</v>
      </c>
      <c r="H171" s="3" t="str">
        <f>VLOOKUP(B171,'[1]Select territorios'!$C:$L,10,0)</f>
        <v>10.386347</v>
      </c>
      <c r="I171" s="3" t="str">
        <f>VLOOKUP(B171,'[1]Select territorios'!$C:$M,11,0)</f>
        <v>-73.17473</v>
      </c>
      <c r="J171" s="5" t="s">
        <v>23</v>
      </c>
      <c r="K171" s="5">
        <v>1065600058</v>
      </c>
      <c r="L171" s="5">
        <v>3123009293</v>
      </c>
      <c r="M171" s="5" t="s">
        <v>24</v>
      </c>
    </row>
    <row r="172" spans="1:13" ht="15.75" x14ac:dyDescent="0.25">
      <c r="A172" s="3">
        <v>6971</v>
      </c>
      <c r="B172" s="3">
        <v>17017</v>
      </c>
      <c r="C172" s="3" t="s">
        <v>409</v>
      </c>
      <c r="D172" s="3" t="s">
        <v>410</v>
      </c>
      <c r="E172" s="4">
        <v>6986</v>
      </c>
      <c r="F172" s="3" t="s">
        <v>294</v>
      </c>
      <c r="G172" s="3" t="s">
        <v>16</v>
      </c>
      <c r="H172" s="3" t="str">
        <f>VLOOKUP(B172,'[1]Select territorios'!$C:$L,10,0)</f>
        <v>9.6192</v>
      </c>
      <c r="I172" s="3" t="str">
        <f>VLOOKUP(B172,'[1]Select territorios'!$C:$M,11,0)</f>
        <v>-73.596</v>
      </c>
      <c r="J172" s="5" t="s">
        <v>48</v>
      </c>
      <c r="K172" s="5">
        <v>1064795379</v>
      </c>
      <c r="L172" s="5">
        <v>3104688587</v>
      </c>
      <c r="M172" s="5" t="s">
        <v>49</v>
      </c>
    </row>
    <row r="173" spans="1:13" ht="15.75" x14ac:dyDescent="0.25">
      <c r="A173" s="3">
        <v>6971</v>
      </c>
      <c r="B173" s="3">
        <v>16900</v>
      </c>
      <c r="C173" s="3" t="s">
        <v>411</v>
      </c>
      <c r="D173" s="3" t="s">
        <v>412</v>
      </c>
      <c r="E173" s="4">
        <v>6974</v>
      </c>
      <c r="F173" s="3" t="s">
        <v>123</v>
      </c>
      <c r="G173" s="3" t="s">
        <v>16</v>
      </c>
      <c r="H173" s="3" t="str">
        <f>VLOOKUP(B173,'[1]Select territorios'!$C:$L,10,0)</f>
        <v>9.70179</v>
      </c>
      <c r="I173" s="3" t="str">
        <f>VLOOKUP(B173,'[1]Select territorios'!$C:$M,11,0)</f>
        <v>-73.28089</v>
      </c>
      <c r="J173" s="5" t="s">
        <v>58</v>
      </c>
      <c r="K173" s="5">
        <v>1193146338</v>
      </c>
      <c r="L173" s="5">
        <v>3202114923</v>
      </c>
      <c r="M173" s="5" t="s">
        <v>59</v>
      </c>
    </row>
    <row r="174" spans="1:13" ht="15.75" x14ac:dyDescent="0.25">
      <c r="A174" s="3">
        <v>6971</v>
      </c>
      <c r="B174" s="3">
        <v>17019</v>
      </c>
      <c r="C174" s="3" t="s">
        <v>413</v>
      </c>
      <c r="D174" s="3" t="s">
        <v>414</v>
      </c>
      <c r="E174" s="4">
        <v>6977</v>
      </c>
      <c r="F174" s="3" t="s">
        <v>52</v>
      </c>
      <c r="G174" s="3" t="s">
        <v>16</v>
      </c>
      <c r="H174" s="3" t="str">
        <f>VLOOKUP(B174,'[1]Select territorios'!$C:$L,10,0)</f>
        <v>9.371</v>
      </c>
      <c r="I174" s="3" t="str">
        <f>VLOOKUP(B174,'[1]Select territorios'!$C:$M,11,0)</f>
        <v>-73.5334</v>
      </c>
      <c r="J174" s="5" t="s">
        <v>48</v>
      </c>
      <c r="K174" s="5">
        <v>1064795379</v>
      </c>
      <c r="L174" s="5">
        <v>3104688587</v>
      </c>
      <c r="M174" s="5" t="s">
        <v>49</v>
      </c>
    </row>
    <row r="175" spans="1:13" ht="15.75" x14ac:dyDescent="0.25">
      <c r="A175" s="3">
        <v>6971</v>
      </c>
      <c r="B175" s="3">
        <v>17015</v>
      </c>
      <c r="C175" s="3" t="s">
        <v>415</v>
      </c>
      <c r="D175" s="3" t="s">
        <v>416</v>
      </c>
      <c r="E175" s="4">
        <v>8552</v>
      </c>
      <c r="F175" s="3" t="s">
        <v>30</v>
      </c>
      <c r="G175" s="3" t="s">
        <v>16</v>
      </c>
      <c r="H175" s="3" t="str">
        <f>VLOOKUP(B175,'[1]Select territorios'!$C:$L,10,0)</f>
        <v>10.459847</v>
      </c>
      <c r="I175" s="3" t="str">
        <f>VLOOKUP(B175,'[1]Select territorios'!$C:$M,11,0)</f>
        <v>-73.267335</v>
      </c>
      <c r="J175" s="5" t="s">
        <v>17</v>
      </c>
      <c r="K175" s="5">
        <v>15173890</v>
      </c>
      <c r="L175" s="5">
        <v>3002039991</v>
      </c>
      <c r="M175" s="5" t="s">
        <v>18</v>
      </c>
    </row>
    <row r="176" spans="1:13" ht="15.75" x14ac:dyDescent="0.25">
      <c r="A176" s="3">
        <v>6971</v>
      </c>
      <c r="B176" s="3">
        <v>17074</v>
      </c>
      <c r="C176" s="3" t="s">
        <v>417</v>
      </c>
      <c r="D176" s="3" t="s">
        <v>418</v>
      </c>
      <c r="E176" s="4">
        <v>7001</v>
      </c>
      <c r="F176" s="3" t="s">
        <v>55</v>
      </c>
      <c r="G176" s="3" t="s">
        <v>16</v>
      </c>
      <c r="H176" s="3" t="str">
        <f>VLOOKUP(B176,'[1]Select territorios'!$C:$L,10,0)</f>
        <v>10.4647</v>
      </c>
      <c r="I176" s="3" t="str">
        <f>VLOOKUP(B176,'[1]Select territorios'!$C:$M,11,0)</f>
        <v>-73.2526</v>
      </c>
      <c r="J176" s="5" t="s">
        <v>23</v>
      </c>
      <c r="K176" s="5">
        <v>1065600058</v>
      </c>
      <c r="L176" s="5">
        <v>3123009293</v>
      </c>
      <c r="M176" s="5" t="s">
        <v>24</v>
      </c>
    </row>
    <row r="177" spans="1:13" ht="15.75" x14ac:dyDescent="0.25">
      <c r="A177" s="3">
        <v>6971</v>
      </c>
      <c r="B177" s="3">
        <v>17076</v>
      </c>
      <c r="C177" s="3" t="s">
        <v>419</v>
      </c>
      <c r="D177" s="3" t="s">
        <v>420</v>
      </c>
      <c r="E177" s="4">
        <v>8554</v>
      </c>
      <c r="F177" s="3" t="s">
        <v>81</v>
      </c>
      <c r="G177" s="3" t="s">
        <v>16</v>
      </c>
      <c r="H177" s="3" t="str">
        <f>VLOOKUP(B177,'[1]Select territorios'!$C:$L,10,0)</f>
        <v>10.4507</v>
      </c>
      <c r="I177" s="3" t="str">
        <f>VLOOKUP(B177,'[1]Select territorios'!$C:$M,11,0)</f>
        <v>-73.2323</v>
      </c>
      <c r="J177" s="5" t="s">
        <v>40</v>
      </c>
      <c r="K177" s="5">
        <v>1003275622</v>
      </c>
      <c r="L177" s="5">
        <v>3218847746</v>
      </c>
      <c r="M177" s="5" t="s">
        <v>41</v>
      </c>
    </row>
    <row r="178" spans="1:13" ht="15.75" x14ac:dyDescent="0.25">
      <c r="A178" s="3">
        <v>6971</v>
      </c>
      <c r="B178" s="3">
        <v>17130</v>
      </c>
      <c r="C178" s="3" t="s">
        <v>421</v>
      </c>
      <c r="D178" s="3" t="s">
        <v>422</v>
      </c>
      <c r="E178" s="4">
        <v>6982</v>
      </c>
      <c r="F178" s="3" t="s">
        <v>118</v>
      </c>
      <c r="G178" s="3" t="s">
        <v>27</v>
      </c>
      <c r="H178" s="3" t="str">
        <f>VLOOKUP(B178,'[1]Select territorios'!$C:$L,10,0)</f>
        <v>8.2027369</v>
      </c>
      <c r="I178" s="3" t="str">
        <f>VLOOKUP(B178,'[1]Select territorios'!$C:$M,11,0)</f>
        <v>-73.7619433</v>
      </c>
      <c r="J178" s="5" t="s">
        <v>107</v>
      </c>
      <c r="K178" s="5">
        <v>1005281494</v>
      </c>
      <c r="L178" s="5">
        <v>3158541035</v>
      </c>
      <c r="M178" s="5" t="s">
        <v>108</v>
      </c>
    </row>
    <row r="179" spans="1:13" ht="15.75" x14ac:dyDescent="0.25">
      <c r="A179" s="3">
        <v>6971</v>
      </c>
      <c r="B179" s="3">
        <v>17131</v>
      </c>
      <c r="C179" s="3" t="s">
        <v>423</v>
      </c>
      <c r="D179" s="3" t="s">
        <v>424</v>
      </c>
      <c r="E179" s="4">
        <v>6982</v>
      </c>
      <c r="F179" s="3" t="s">
        <v>118</v>
      </c>
      <c r="G179" s="3" t="s">
        <v>27</v>
      </c>
      <c r="H179" s="3" t="str">
        <f>VLOOKUP(B179,'[1]Select territorios'!$C:$L,10,0)</f>
        <v>8.44294</v>
      </c>
      <c r="I179" s="3" t="str">
        <f>VLOOKUP(B179,'[1]Select territorios'!$C:$M,11,0)</f>
        <v>-73.73029</v>
      </c>
      <c r="J179" s="5" t="s">
        <v>107</v>
      </c>
      <c r="K179" s="5">
        <v>1005281494</v>
      </c>
      <c r="L179" s="5">
        <v>3158541035</v>
      </c>
      <c r="M179" s="5" t="s">
        <v>108</v>
      </c>
    </row>
    <row r="180" spans="1:13" ht="15.75" x14ac:dyDescent="0.25">
      <c r="A180" s="3">
        <v>6971</v>
      </c>
      <c r="B180" s="3">
        <v>17127</v>
      </c>
      <c r="C180" s="3" t="s">
        <v>425</v>
      </c>
      <c r="D180" s="3" t="s">
        <v>426</v>
      </c>
      <c r="E180" s="4">
        <v>6982</v>
      </c>
      <c r="F180" s="3" t="s">
        <v>118</v>
      </c>
      <c r="G180" s="3" t="s">
        <v>27</v>
      </c>
      <c r="H180" s="3" t="str">
        <f>VLOOKUP(B180,'[1]Select territorios'!$C:$L,10,0)</f>
        <v>8.34225</v>
      </c>
      <c r="I180" s="3" t="str">
        <f>VLOOKUP(B180,'[1]Select territorios'!$C:$M,11,0)</f>
        <v>-73.71833</v>
      </c>
      <c r="J180" s="5" t="s">
        <v>107</v>
      </c>
      <c r="K180" s="5">
        <v>1005281494</v>
      </c>
      <c r="L180" s="5">
        <v>3158541035</v>
      </c>
      <c r="M180" s="5" t="s">
        <v>108</v>
      </c>
    </row>
    <row r="181" spans="1:13" ht="15.75" x14ac:dyDescent="0.25">
      <c r="A181" s="3">
        <v>6971</v>
      </c>
      <c r="B181" s="3">
        <v>16808</v>
      </c>
      <c r="C181" s="3" t="s">
        <v>427</v>
      </c>
      <c r="D181" s="3" t="s">
        <v>428</v>
      </c>
      <c r="E181" s="4">
        <v>7001</v>
      </c>
      <c r="F181" s="3" t="s">
        <v>55</v>
      </c>
      <c r="G181" s="3" t="s">
        <v>16</v>
      </c>
      <c r="H181" s="3" t="str">
        <f>VLOOKUP(B181,'[1]Select territorios'!$C:$L,10,0)</f>
        <v>10.4688</v>
      </c>
      <c r="I181" s="3" t="str">
        <f>VLOOKUP(B181,'[1]Select territorios'!$C:$M,11,0)</f>
        <v>-73.2448</v>
      </c>
      <c r="J181" s="5" t="s">
        <v>23</v>
      </c>
      <c r="K181" s="5">
        <v>1065600058</v>
      </c>
      <c r="L181" s="5">
        <v>3123009293</v>
      </c>
      <c r="M181" s="5" t="s">
        <v>24</v>
      </c>
    </row>
    <row r="182" spans="1:13" ht="15.75" x14ac:dyDescent="0.25">
      <c r="A182" s="3">
        <v>6971</v>
      </c>
      <c r="B182" s="3">
        <v>17227</v>
      </c>
      <c r="C182" s="3" t="s">
        <v>429</v>
      </c>
      <c r="D182" s="3" t="s">
        <v>430</v>
      </c>
      <c r="E182" s="4">
        <v>17191</v>
      </c>
      <c r="F182" s="3" t="s">
        <v>186</v>
      </c>
      <c r="G182" s="3" t="s">
        <v>22</v>
      </c>
      <c r="H182" s="3" t="str">
        <f>VLOOKUP(B182,'[1]Select territorios'!$C:$L,10,0)</f>
        <v>10.4563</v>
      </c>
      <c r="I182" s="3" t="str">
        <f>VLOOKUP(B182,'[1]Select territorios'!$C:$M,11,0)</f>
        <v>-73.2749</v>
      </c>
      <c r="J182" s="5" t="s">
        <v>17</v>
      </c>
      <c r="K182" s="5">
        <v>15173890</v>
      </c>
      <c r="L182" s="5">
        <v>3002039991</v>
      </c>
      <c r="M182" s="5" t="s">
        <v>18</v>
      </c>
    </row>
    <row r="183" spans="1:13" ht="15.75" x14ac:dyDescent="0.25">
      <c r="A183" s="3">
        <v>6971</v>
      </c>
      <c r="B183" s="3">
        <v>17071</v>
      </c>
      <c r="C183" s="3" t="s">
        <v>431</v>
      </c>
      <c r="D183" s="3" t="s">
        <v>432</v>
      </c>
      <c r="E183" s="4">
        <v>6985</v>
      </c>
      <c r="F183" s="3" t="s">
        <v>101</v>
      </c>
      <c r="G183" s="3" t="s">
        <v>16</v>
      </c>
      <c r="H183" s="3" t="str">
        <f>VLOOKUP(B183,'[1]Select territorios'!$C:$L,10,0)</f>
        <v>9.561703</v>
      </c>
      <c r="I183" s="3" t="str">
        <f>VLOOKUP(B183,'[1]Select territorios'!$C:$M,11,0)</f>
        <v>-73.333256</v>
      </c>
      <c r="J183" s="5" t="s">
        <v>58</v>
      </c>
      <c r="K183" s="5">
        <v>1193146338</v>
      </c>
      <c r="L183" s="5">
        <v>3202114923</v>
      </c>
      <c r="M183" s="5" t="s">
        <v>59</v>
      </c>
    </row>
    <row r="184" spans="1:13" ht="15.75" x14ac:dyDescent="0.25">
      <c r="A184" s="3">
        <v>6971</v>
      </c>
      <c r="B184" s="3">
        <v>17743</v>
      </c>
      <c r="C184" s="3" t="s">
        <v>433</v>
      </c>
      <c r="D184" s="3" t="s">
        <v>434</v>
      </c>
      <c r="E184" s="4">
        <v>6984</v>
      </c>
      <c r="F184" s="3" t="s">
        <v>75</v>
      </c>
      <c r="G184" s="3" t="s">
        <v>27</v>
      </c>
      <c r="H184" s="3" t="str">
        <f>VLOOKUP(B184,'[1]Select territorios'!$C:$L,10,0)</f>
        <v>8.59967</v>
      </c>
      <c r="I184" s="3" t="str">
        <f>VLOOKUP(B184,'[1]Select territorios'!$C:$M,11,0)</f>
        <v>-73.586927</v>
      </c>
      <c r="J184" s="5" t="s">
        <v>71</v>
      </c>
      <c r="K184" s="5">
        <v>1065818056</v>
      </c>
      <c r="L184" s="5">
        <v>3145467066</v>
      </c>
      <c r="M184" s="5" t="s">
        <v>72</v>
      </c>
    </row>
    <row r="185" spans="1:13" ht="15.75" x14ac:dyDescent="0.25">
      <c r="A185" s="3">
        <v>6971</v>
      </c>
      <c r="B185" s="3">
        <v>8260</v>
      </c>
      <c r="C185" s="3" t="s">
        <v>435</v>
      </c>
      <c r="D185" s="3" t="s">
        <v>436</v>
      </c>
      <c r="E185" s="4">
        <v>6980</v>
      </c>
      <c r="F185" s="3" t="s">
        <v>384</v>
      </c>
      <c r="G185" s="3" t="s">
        <v>16</v>
      </c>
      <c r="H185" s="3" t="str">
        <f>VLOOKUP(B185,'[1]Select territorios'!$C:$L,10,0)</f>
        <v>10.147404</v>
      </c>
      <c r="I185" s="3" t="str">
        <f>VLOOKUP(B185,'[1]Select territorios'!$C:$M,11,0)</f>
        <v>-73.966028</v>
      </c>
      <c r="J185" s="5" t="s">
        <v>48</v>
      </c>
      <c r="K185" s="5">
        <v>1064795379</v>
      </c>
      <c r="L185" s="5">
        <v>3104688587</v>
      </c>
      <c r="M185" s="5" t="s">
        <v>49</v>
      </c>
    </row>
    <row r="186" spans="1:13" ht="15.75" x14ac:dyDescent="0.25">
      <c r="A186" s="3">
        <v>6971</v>
      </c>
      <c r="B186" s="3">
        <v>17075</v>
      </c>
      <c r="C186" s="3" t="s">
        <v>437</v>
      </c>
      <c r="D186" s="3" t="s">
        <v>438</v>
      </c>
      <c r="E186" s="4">
        <v>6979</v>
      </c>
      <c r="F186" s="3" t="s">
        <v>57</v>
      </c>
      <c r="G186" s="3" t="s">
        <v>16</v>
      </c>
      <c r="H186" s="3" t="str">
        <f>VLOOKUP(B186,'[1]Select territorios'!$C:$L,10,0)</f>
        <v>9.202046</v>
      </c>
      <c r="I186" s="3" t="str">
        <f>VLOOKUP(B186,'[1]Select territorios'!$C:$M,11,0)</f>
        <v>-73.540169</v>
      </c>
      <c r="J186" s="5" t="s">
        <v>58</v>
      </c>
      <c r="K186" s="5">
        <v>1193146338</v>
      </c>
      <c r="L186" s="5">
        <v>3202114923</v>
      </c>
      <c r="M186" s="5" t="s">
        <v>59</v>
      </c>
    </row>
    <row r="187" spans="1:13" ht="15.75" x14ac:dyDescent="0.25">
      <c r="A187" s="3">
        <v>6971</v>
      </c>
      <c r="B187" s="3">
        <v>17717</v>
      </c>
      <c r="C187" s="3" t="s">
        <v>439</v>
      </c>
      <c r="D187" s="3" t="s">
        <v>440</v>
      </c>
      <c r="E187" s="4">
        <v>8562</v>
      </c>
      <c r="F187" s="3" t="s">
        <v>118</v>
      </c>
      <c r="G187" s="3" t="s">
        <v>27</v>
      </c>
      <c r="H187" s="3" t="str">
        <f>VLOOKUP(B187,'[1]Select territorios'!$C:$L,10,0)</f>
        <v>8.3129</v>
      </c>
      <c r="I187" s="3" t="str">
        <f>VLOOKUP(B187,'[1]Select territorios'!$C:$M,11,0)</f>
        <v>-73.6244</v>
      </c>
      <c r="J187" s="5" t="s">
        <v>71</v>
      </c>
      <c r="K187" s="5">
        <v>1065818056</v>
      </c>
      <c r="L187" s="5">
        <v>3145467066</v>
      </c>
      <c r="M187" s="5" t="s">
        <v>72</v>
      </c>
    </row>
    <row r="188" spans="1:13" ht="15.75" x14ac:dyDescent="0.25">
      <c r="A188" s="3">
        <v>6971</v>
      </c>
      <c r="B188" s="3">
        <v>17063</v>
      </c>
      <c r="C188" s="3" t="s">
        <v>441</v>
      </c>
      <c r="D188" s="3" t="s">
        <v>442</v>
      </c>
      <c r="E188" s="4">
        <v>6972</v>
      </c>
      <c r="F188" s="3" t="s">
        <v>173</v>
      </c>
      <c r="G188" s="3" t="s">
        <v>27</v>
      </c>
      <c r="H188" s="3" t="str">
        <f>VLOOKUP(B188,'[1]Select territorios'!$C:$L,10,0)</f>
        <v>8.305544</v>
      </c>
      <c r="I188" s="3" t="str">
        <f>VLOOKUP(B188,'[1]Select territorios'!$C:$M,11,0)</f>
        <v>-73.601146</v>
      </c>
      <c r="J188" s="5" t="s">
        <v>71</v>
      </c>
      <c r="K188" s="5">
        <v>1065818056</v>
      </c>
      <c r="L188" s="5">
        <v>3145467066</v>
      </c>
      <c r="M188" s="5" t="s">
        <v>72</v>
      </c>
    </row>
    <row r="189" spans="1:13" ht="15.75" x14ac:dyDescent="0.25">
      <c r="A189" s="3">
        <v>6971</v>
      </c>
      <c r="B189" s="3">
        <v>17274</v>
      </c>
      <c r="C189" s="3" t="s">
        <v>443</v>
      </c>
      <c r="D189" s="3" t="s">
        <v>444</v>
      </c>
      <c r="E189" s="4">
        <v>6976</v>
      </c>
      <c r="F189" s="3" t="s">
        <v>96</v>
      </c>
      <c r="G189" s="3" t="s">
        <v>16</v>
      </c>
      <c r="H189" s="3" t="str">
        <f>VLOOKUP(B189,'[1]Select territorios'!$C:$L,10,0)</f>
        <v>9.2562311</v>
      </c>
      <c r="I189" s="3" t="str">
        <f>VLOOKUP(B189,'[1]Select territorios'!$C:$M,11,0)</f>
        <v>-73.8163467</v>
      </c>
      <c r="J189" s="5" t="s">
        <v>48</v>
      </c>
      <c r="K189" s="5">
        <v>1064795379</v>
      </c>
      <c r="L189" s="5">
        <v>3104688587</v>
      </c>
      <c r="M189" s="5" t="s">
        <v>49</v>
      </c>
    </row>
    <row r="190" spans="1:13" ht="15.75" x14ac:dyDescent="0.25">
      <c r="A190" s="3">
        <v>6971</v>
      </c>
      <c r="B190" s="3">
        <v>17018</v>
      </c>
      <c r="C190" s="3" t="s">
        <v>445</v>
      </c>
      <c r="D190" s="3" t="s">
        <v>446</v>
      </c>
      <c r="E190" s="4">
        <v>17176</v>
      </c>
      <c r="F190" s="3" t="s">
        <v>189</v>
      </c>
      <c r="G190" s="3" t="s">
        <v>16</v>
      </c>
      <c r="H190" s="3" t="str">
        <f>VLOOKUP(B190,'[1]Select territorios'!$C:$L,10,0)</f>
        <v>10.4584</v>
      </c>
      <c r="I190" s="3" t="str">
        <f>VLOOKUP(B190,'[1]Select territorios'!$C:$M,11,0)</f>
        <v>-73.2277</v>
      </c>
      <c r="J190" s="5" t="s">
        <v>40</v>
      </c>
      <c r="K190" s="5">
        <v>1003275622</v>
      </c>
      <c r="L190" s="5">
        <v>3218847746</v>
      </c>
      <c r="M190" s="5" t="s">
        <v>41</v>
      </c>
    </row>
    <row r="191" spans="1:13" ht="15.75" x14ac:dyDescent="0.25">
      <c r="A191" s="3">
        <v>6971</v>
      </c>
      <c r="B191" s="3">
        <v>16903</v>
      </c>
      <c r="C191" s="3" t="s">
        <v>447</v>
      </c>
      <c r="D191" s="3" t="s">
        <v>448</v>
      </c>
      <c r="E191" s="4">
        <v>18936</v>
      </c>
      <c r="F191" s="3" t="s">
        <v>21</v>
      </c>
      <c r="G191" s="3" t="s">
        <v>16</v>
      </c>
      <c r="H191" s="3" t="str">
        <f>VLOOKUP(B191,'[1]Select territorios'!$C:$L,10,0)</f>
        <v>10.47191</v>
      </c>
      <c r="I191" s="3" t="str">
        <f>VLOOKUP(B191,'[1]Select territorios'!$C:$M,11,0)</f>
        <v>-73.256014</v>
      </c>
      <c r="J191" s="5" t="s">
        <v>23</v>
      </c>
      <c r="K191" s="5">
        <v>1065600058</v>
      </c>
      <c r="L191" s="5">
        <v>3123009293</v>
      </c>
      <c r="M191" s="5" t="s">
        <v>24</v>
      </c>
    </row>
    <row r="192" spans="1:13" ht="15.75" x14ac:dyDescent="0.25">
      <c r="A192" s="3">
        <v>6971</v>
      </c>
      <c r="B192" s="3">
        <v>17088</v>
      </c>
      <c r="C192" s="3" t="s">
        <v>449</v>
      </c>
      <c r="D192" s="3" t="s">
        <v>450</v>
      </c>
      <c r="E192" s="4">
        <v>18936</v>
      </c>
      <c r="F192" s="3" t="s">
        <v>21</v>
      </c>
      <c r="G192" s="3" t="s">
        <v>16</v>
      </c>
      <c r="H192" s="3" t="str">
        <f>VLOOKUP(B192,'[1]Select territorios'!$C:$L,10,0)</f>
        <v>10.496342</v>
      </c>
      <c r="I192" s="3" t="str">
        <f>VLOOKUP(B192,'[1]Select territorios'!$C:$M,11,0)</f>
        <v>-73.166355</v>
      </c>
      <c r="J192" s="5" t="s">
        <v>23</v>
      </c>
      <c r="K192" s="5">
        <v>1065600058</v>
      </c>
      <c r="L192" s="5">
        <v>3123009293</v>
      </c>
      <c r="M192" s="5" t="s">
        <v>24</v>
      </c>
    </row>
    <row r="193" spans="1:13" ht="15.75" x14ac:dyDescent="0.25">
      <c r="A193" s="3">
        <v>6971</v>
      </c>
      <c r="B193" s="3">
        <v>8188</v>
      </c>
      <c r="C193" s="3" t="s">
        <v>451</v>
      </c>
      <c r="D193" s="3" t="s">
        <v>452</v>
      </c>
      <c r="E193" s="4">
        <v>9206</v>
      </c>
      <c r="F193" s="3" t="s">
        <v>33</v>
      </c>
      <c r="G193" s="3" t="s">
        <v>16</v>
      </c>
      <c r="H193" s="3" t="str">
        <f>VLOOKUP(B193,'[1]Select territorios'!$C:$L,10,0)</f>
        <v>10.45235</v>
      </c>
      <c r="I193" s="3" t="str">
        <f>VLOOKUP(B193,'[1]Select territorios'!$C:$M,11,0)</f>
        <v>-73.2719306</v>
      </c>
      <c r="J193" s="5" t="s">
        <v>17</v>
      </c>
      <c r="K193" s="5">
        <v>15173890</v>
      </c>
      <c r="L193" s="5">
        <v>3002039991</v>
      </c>
      <c r="M193" s="5" t="s">
        <v>18</v>
      </c>
    </row>
    <row r="194" spans="1:13" ht="15.75" x14ac:dyDescent="0.25">
      <c r="A194" s="3">
        <v>6971</v>
      </c>
      <c r="B194" s="3">
        <v>17370</v>
      </c>
      <c r="C194" s="3" t="s">
        <v>453</v>
      </c>
      <c r="D194" s="3" t="s">
        <v>454</v>
      </c>
      <c r="E194" s="4">
        <v>6988</v>
      </c>
      <c r="F194" s="3" t="s">
        <v>227</v>
      </c>
      <c r="G194" s="3" t="s">
        <v>27</v>
      </c>
      <c r="H194" s="3" t="str">
        <f>VLOOKUP(B194,'[1]Select territorios'!$C:$L,10,0)</f>
        <v>10.423333</v>
      </c>
      <c r="I194" s="3" t="str">
        <f>VLOOKUP(B194,'[1]Select territorios'!$C:$M,11,0)</f>
        <v>-73.15197</v>
      </c>
      <c r="J194" s="5" t="s">
        <v>23</v>
      </c>
      <c r="K194" s="5">
        <v>1065600058</v>
      </c>
      <c r="L194" s="5">
        <v>3123009293</v>
      </c>
      <c r="M194" s="5" t="s">
        <v>24</v>
      </c>
    </row>
    <row r="195" spans="1:13" ht="15.75" x14ac:dyDescent="0.25">
      <c r="A195" s="3">
        <v>6971</v>
      </c>
      <c r="B195" s="3">
        <v>7152</v>
      </c>
      <c r="C195" s="3" t="s">
        <v>455</v>
      </c>
      <c r="D195" s="3" t="s">
        <v>456</v>
      </c>
      <c r="E195" s="4">
        <v>8560</v>
      </c>
      <c r="F195" s="3" t="s">
        <v>161</v>
      </c>
      <c r="G195" s="3" t="s">
        <v>22</v>
      </c>
      <c r="H195" s="3" t="str">
        <f>VLOOKUP(B195,'[1]Select territorios'!$C:$L,10,0)</f>
        <v>8.318554</v>
      </c>
      <c r="I195" s="3" t="str">
        <f>VLOOKUP(B195,'[1]Select territorios'!$C:$M,11,0)</f>
        <v>-73.6016386</v>
      </c>
      <c r="J195" s="5" t="s">
        <v>107</v>
      </c>
      <c r="K195" s="5">
        <v>1005281494</v>
      </c>
      <c r="L195" s="5">
        <v>3158541035</v>
      </c>
      <c r="M195" s="5" t="s">
        <v>108</v>
      </c>
    </row>
    <row r="196" spans="1:13" ht="15.75" x14ac:dyDescent="0.25">
      <c r="A196" s="3">
        <v>6971</v>
      </c>
      <c r="B196" s="3">
        <v>17157</v>
      </c>
      <c r="C196" s="3" t="s">
        <v>457</v>
      </c>
      <c r="D196" s="3" t="s">
        <v>458</v>
      </c>
      <c r="E196" s="4">
        <v>9206</v>
      </c>
      <c r="F196" s="3" t="s">
        <v>33</v>
      </c>
      <c r="G196" s="3" t="s">
        <v>27</v>
      </c>
      <c r="H196" s="3" t="str">
        <f>VLOOKUP(B196,'[1]Select territorios'!$C:$L,10,0)</f>
        <v>10.4544697</v>
      </c>
      <c r="I196" s="3" t="str">
        <f>VLOOKUP(B196,'[1]Select territorios'!$C:$M,11,0)</f>
        <v>-73.26498603</v>
      </c>
      <c r="J196" s="5" t="s">
        <v>17</v>
      </c>
      <c r="K196" s="5">
        <v>15173890</v>
      </c>
      <c r="L196" s="5">
        <v>3002039991</v>
      </c>
      <c r="M196" s="5" t="s">
        <v>18</v>
      </c>
    </row>
    <row r="197" spans="1:13" ht="15.75" x14ac:dyDescent="0.25">
      <c r="A197" s="3">
        <v>6971</v>
      </c>
      <c r="B197" s="3">
        <v>7082</v>
      </c>
      <c r="C197" s="3" t="s">
        <v>459</v>
      </c>
      <c r="D197" s="3" t="s">
        <v>460</v>
      </c>
      <c r="E197" s="4">
        <v>6980</v>
      </c>
      <c r="F197" s="3" t="s">
        <v>384</v>
      </c>
      <c r="G197" s="3" t="s">
        <v>22</v>
      </c>
      <c r="H197" s="3" t="str">
        <f>VLOOKUP(B197,'[1]Select territorios'!$C:$L,10,0)</f>
        <v>10.148414</v>
      </c>
      <c r="I197" s="3" t="str">
        <f>VLOOKUP(B197,'[1]Select territorios'!$C:$M,11,0)</f>
        <v>-73.959515</v>
      </c>
      <c r="J197" s="5" t="s">
        <v>48</v>
      </c>
      <c r="K197" s="5">
        <v>1064795379</v>
      </c>
      <c r="L197" s="5">
        <v>3104688587</v>
      </c>
      <c r="M197" s="5" t="s">
        <v>49</v>
      </c>
    </row>
    <row r="198" spans="1:13" ht="15.75" x14ac:dyDescent="0.25">
      <c r="A198" s="3">
        <v>6971</v>
      </c>
      <c r="B198" s="3">
        <v>7160</v>
      </c>
      <c r="C198" s="3" t="s">
        <v>461</v>
      </c>
      <c r="D198" s="3" t="s">
        <v>462</v>
      </c>
      <c r="E198" s="4">
        <v>18935</v>
      </c>
      <c r="F198" s="3" t="s">
        <v>44</v>
      </c>
      <c r="G198" s="3" t="s">
        <v>16</v>
      </c>
      <c r="H198" s="3" t="str">
        <f>VLOOKUP(B198,'[1]Select territorios'!$C:$L,10,0)</f>
        <v>10.4516</v>
      </c>
      <c r="I198" s="3" t="str">
        <f>VLOOKUP(B198,'[1]Select territorios'!$C:$M,11,0)</f>
        <v>-73.253</v>
      </c>
      <c r="J198" s="5" t="s">
        <v>40</v>
      </c>
      <c r="K198" s="5">
        <v>1003275622</v>
      </c>
      <c r="L198" s="5">
        <v>3218847746</v>
      </c>
      <c r="M198" s="5" t="s">
        <v>41</v>
      </c>
    </row>
    <row r="199" spans="1:13" ht="15.75" x14ac:dyDescent="0.25">
      <c r="A199" s="3">
        <v>6971</v>
      </c>
      <c r="B199" s="3">
        <v>8090</v>
      </c>
      <c r="C199" s="3" t="s">
        <v>463</v>
      </c>
      <c r="D199" s="3" t="s">
        <v>464</v>
      </c>
      <c r="E199" s="4">
        <v>9206</v>
      </c>
      <c r="F199" s="3" t="s">
        <v>33</v>
      </c>
      <c r="G199" s="3" t="s">
        <v>16</v>
      </c>
      <c r="H199" s="3" t="str">
        <f>VLOOKUP(B199,'[1]Select territorios'!$C:$L,10,0)</f>
        <v>10.4515</v>
      </c>
      <c r="I199" s="3" t="str">
        <f>VLOOKUP(B199,'[1]Select territorios'!$C:$M,11,0)</f>
        <v>-73.2749</v>
      </c>
      <c r="J199" s="5" t="s">
        <v>17</v>
      </c>
      <c r="K199" s="5">
        <v>15173890</v>
      </c>
      <c r="L199" s="5">
        <v>3002039991</v>
      </c>
      <c r="M199" s="5" t="s">
        <v>18</v>
      </c>
    </row>
    <row r="200" spans="1:13" ht="15.75" x14ac:dyDescent="0.25">
      <c r="A200" s="3">
        <v>6971</v>
      </c>
      <c r="B200" s="3">
        <v>7014</v>
      </c>
      <c r="C200" s="3" t="s">
        <v>465</v>
      </c>
      <c r="D200" s="3" t="s">
        <v>173</v>
      </c>
      <c r="E200" s="4">
        <v>6972</v>
      </c>
      <c r="F200" s="3" t="s">
        <v>173</v>
      </c>
      <c r="G200" s="3" t="s">
        <v>22</v>
      </c>
      <c r="H200" s="3" t="str">
        <f>VLOOKUP(B200,'[1]Select territorios'!$C:$L,10,0)</f>
        <v>8.310068</v>
      </c>
      <c r="I200" s="3" t="str">
        <f>VLOOKUP(B200,'[1]Select territorios'!$C:$M,11,0)</f>
        <v>-73.616822</v>
      </c>
      <c r="J200" s="5" t="s">
        <v>71</v>
      </c>
      <c r="K200" s="5">
        <v>1065818056</v>
      </c>
      <c r="L200" s="5">
        <v>3145467066</v>
      </c>
      <c r="M200" s="5" t="s">
        <v>72</v>
      </c>
    </row>
    <row r="201" spans="1:13" ht="15.75" x14ac:dyDescent="0.25">
      <c r="A201" s="3">
        <v>6971</v>
      </c>
      <c r="B201" s="3">
        <v>8097</v>
      </c>
      <c r="C201" s="3" t="s">
        <v>466</v>
      </c>
      <c r="D201" s="3" t="s">
        <v>467</v>
      </c>
      <c r="E201" s="4">
        <v>6996</v>
      </c>
      <c r="F201" s="3" t="s">
        <v>113</v>
      </c>
      <c r="G201" s="3" t="s">
        <v>16</v>
      </c>
      <c r="H201" s="3" t="str">
        <f>VLOOKUP(B201,'[1]Select territorios'!$C:$L,10,0)</f>
        <v>7.7639</v>
      </c>
      <c r="I201" s="3" t="str">
        <f>VLOOKUP(B201,'[1]Select territorios'!$C:$M,11,0)</f>
        <v>-73.39347</v>
      </c>
      <c r="J201" s="5" t="s">
        <v>107</v>
      </c>
      <c r="K201" s="5">
        <v>1005281494</v>
      </c>
      <c r="L201" s="5">
        <v>3158541035</v>
      </c>
      <c r="M201" s="5" t="s">
        <v>108</v>
      </c>
    </row>
    <row r="202" spans="1:13" ht="15.75" x14ac:dyDescent="0.25">
      <c r="A202" s="3">
        <v>6971</v>
      </c>
      <c r="B202" s="3">
        <v>16902</v>
      </c>
      <c r="C202" s="3" t="s">
        <v>468</v>
      </c>
      <c r="D202" s="3" t="s">
        <v>469</v>
      </c>
      <c r="E202" s="4">
        <v>18936</v>
      </c>
      <c r="F202" s="3" t="s">
        <v>21</v>
      </c>
      <c r="G202" s="3" t="s">
        <v>16</v>
      </c>
      <c r="H202" s="3" t="str">
        <f>VLOOKUP(B202,'[1]Select territorios'!$C:$L,10,0)</f>
        <v>10.478831</v>
      </c>
      <c r="I202" s="3" t="str">
        <f>VLOOKUP(B202,'[1]Select territorios'!$C:$M,11,0)</f>
        <v>-73.2500285</v>
      </c>
      <c r="J202" s="5" t="s">
        <v>23</v>
      </c>
      <c r="K202" s="5">
        <v>1065600058</v>
      </c>
      <c r="L202" s="5">
        <v>3123009293</v>
      </c>
      <c r="M202" s="5" t="s">
        <v>24</v>
      </c>
    </row>
    <row r="203" spans="1:13" ht="15.75" x14ac:dyDescent="0.25">
      <c r="A203" s="3">
        <v>6971</v>
      </c>
      <c r="B203" s="3">
        <v>17666</v>
      </c>
      <c r="C203" s="3" t="s">
        <v>470</v>
      </c>
      <c r="D203" s="3" t="s">
        <v>471</v>
      </c>
      <c r="E203" s="4">
        <v>6991</v>
      </c>
      <c r="F203" s="3" t="s">
        <v>70</v>
      </c>
      <c r="G203" s="3" t="s">
        <v>16</v>
      </c>
      <c r="H203" s="3" t="str">
        <f>VLOOKUP(B203,'[1]Select territorios'!$C:$L,10,0)</f>
        <v>8.687974</v>
      </c>
      <c r="I203" s="3" t="str">
        <f>VLOOKUP(B203,'[1]Select territorios'!$C:$M,11,0)</f>
        <v>-73.662866</v>
      </c>
      <c r="J203" s="5" t="s">
        <v>71</v>
      </c>
      <c r="K203" s="5">
        <v>1065818056</v>
      </c>
      <c r="L203" s="5">
        <v>3145467066</v>
      </c>
      <c r="M203" s="5" t="s">
        <v>72</v>
      </c>
    </row>
    <row r="204" spans="1:13" ht="15.75" x14ac:dyDescent="0.25">
      <c r="A204" s="3">
        <v>6971</v>
      </c>
      <c r="B204" s="3">
        <v>17322</v>
      </c>
      <c r="C204" s="3" t="s">
        <v>472</v>
      </c>
      <c r="D204" s="3" t="s">
        <v>473</v>
      </c>
      <c r="E204" s="4">
        <v>6979</v>
      </c>
      <c r="F204" s="3" t="s">
        <v>57</v>
      </c>
      <c r="G204" s="3" t="s">
        <v>16</v>
      </c>
      <c r="H204" s="3" t="str">
        <f>VLOOKUP(B204,'[1]Select territorios'!$C:$L,10,0)</f>
        <v>9.20064</v>
      </c>
      <c r="I204" s="3" t="str">
        <f>VLOOKUP(B204,'[1]Select territorios'!$C:$M,11,0)</f>
        <v>-73.544143</v>
      </c>
      <c r="J204" s="5" t="s">
        <v>58</v>
      </c>
      <c r="K204" s="5">
        <v>1193146338</v>
      </c>
      <c r="L204" s="5">
        <v>3202114923</v>
      </c>
      <c r="M204" s="5" t="s">
        <v>59</v>
      </c>
    </row>
    <row r="205" spans="1:13" ht="15.75" x14ac:dyDescent="0.25">
      <c r="A205" s="3">
        <v>6971</v>
      </c>
      <c r="B205" s="3">
        <v>8198</v>
      </c>
      <c r="C205" s="3" t="s">
        <v>474</v>
      </c>
      <c r="D205" s="3" t="s">
        <v>475</v>
      </c>
      <c r="E205" s="4">
        <v>8556</v>
      </c>
      <c r="F205" s="3" t="s">
        <v>36</v>
      </c>
      <c r="G205" s="3" t="s">
        <v>27</v>
      </c>
      <c r="H205" s="3" t="str">
        <f>VLOOKUP(B205,'[1]Select territorios'!$C:$L,10,0)</f>
        <v>10.4701</v>
      </c>
      <c r="I205" s="3" t="str">
        <f>VLOOKUP(B205,'[1]Select territorios'!$C:$M,11,0)</f>
        <v>-73.2426</v>
      </c>
      <c r="J205" s="5" t="s">
        <v>23</v>
      </c>
      <c r="K205" s="5">
        <v>1065600058</v>
      </c>
      <c r="L205" s="5">
        <v>3123009293</v>
      </c>
      <c r="M205" s="5" t="s">
        <v>24</v>
      </c>
    </row>
    <row r="206" spans="1:13" ht="15.75" x14ac:dyDescent="0.25">
      <c r="A206" s="3">
        <v>6971</v>
      </c>
      <c r="B206" s="3">
        <v>17376</v>
      </c>
      <c r="C206" s="3" t="s">
        <v>476</v>
      </c>
      <c r="D206" s="3" t="s">
        <v>477</v>
      </c>
      <c r="E206" s="4">
        <v>6986</v>
      </c>
      <c r="F206" s="3" t="s">
        <v>294</v>
      </c>
      <c r="G206" s="3" t="s">
        <v>16</v>
      </c>
      <c r="H206" s="3" t="str">
        <f>VLOOKUP(B206,'[1]Select territorios'!$C:$L,10,0)</f>
        <v>9.6172</v>
      </c>
      <c r="I206" s="3" t="str">
        <f>VLOOKUP(B206,'[1]Select territorios'!$C:$M,11,0)</f>
        <v>-73.6041</v>
      </c>
      <c r="J206" s="5" t="s">
        <v>48</v>
      </c>
      <c r="K206" s="5">
        <v>1064795379</v>
      </c>
      <c r="L206" s="5">
        <v>3104688587</v>
      </c>
      <c r="M206" s="5" t="s">
        <v>49</v>
      </c>
    </row>
    <row r="207" spans="1:13" ht="15.75" x14ac:dyDescent="0.25">
      <c r="A207" s="3">
        <v>6971</v>
      </c>
      <c r="B207" s="3">
        <v>17097</v>
      </c>
      <c r="C207" s="3" t="s">
        <v>478</v>
      </c>
      <c r="D207" s="3" t="s">
        <v>479</v>
      </c>
      <c r="E207" s="4">
        <v>17191</v>
      </c>
      <c r="F207" s="3" t="s">
        <v>186</v>
      </c>
      <c r="G207" s="3" t="s">
        <v>16</v>
      </c>
      <c r="H207" s="3" t="str">
        <f>VLOOKUP(B207,'[1]Select territorios'!$C:$L,10,0)</f>
        <v>10.4702</v>
      </c>
      <c r="I207" s="3" t="str">
        <f>VLOOKUP(B207,'[1]Select territorios'!$C:$M,11,0)</f>
        <v>-73.2857</v>
      </c>
      <c r="J207" s="5" t="s">
        <v>17</v>
      </c>
      <c r="K207" s="5">
        <v>15173890</v>
      </c>
      <c r="L207" s="5">
        <v>3002039991</v>
      </c>
      <c r="M207" s="5" t="s">
        <v>18</v>
      </c>
    </row>
    <row r="208" spans="1:13" ht="15.75" x14ac:dyDescent="0.25">
      <c r="A208" s="3">
        <v>6971</v>
      </c>
      <c r="B208" s="3">
        <v>17867</v>
      </c>
      <c r="C208" s="3" t="s">
        <v>480</v>
      </c>
      <c r="D208" s="3" t="s">
        <v>481</v>
      </c>
      <c r="E208" s="4">
        <v>6986</v>
      </c>
      <c r="F208" s="3" t="s">
        <v>294</v>
      </c>
      <c r="G208" s="3" t="s">
        <v>27</v>
      </c>
      <c r="H208" s="3" t="str">
        <f>VLOOKUP(B208,'[1]Select territorios'!$C:$L,10,0)</f>
        <v>9.6194</v>
      </c>
      <c r="I208" s="3" t="str">
        <f>VLOOKUP(B208,'[1]Select territorios'!$C:$M,11,0)</f>
        <v>-73.5947</v>
      </c>
      <c r="J208" s="5" t="s">
        <v>48</v>
      </c>
      <c r="K208" s="5">
        <v>1064795379</v>
      </c>
      <c r="L208" s="5">
        <v>3104688587</v>
      </c>
      <c r="M208" s="5" t="s">
        <v>49</v>
      </c>
    </row>
    <row r="209" spans="1:13" ht="15.75" x14ac:dyDescent="0.25">
      <c r="A209" s="3">
        <v>6971</v>
      </c>
      <c r="B209" s="3">
        <v>9097</v>
      </c>
      <c r="C209" s="3" t="s">
        <v>482</v>
      </c>
      <c r="D209" s="3" t="s">
        <v>483</v>
      </c>
      <c r="E209" s="4">
        <v>18935</v>
      </c>
      <c r="F209" s="3" t="s">
        <v>44</v>
      </c>
      <c r="G209" s="3" t="s">
        <v>16</v>
      </c>
      <c r="H209" s="3" t="str">
        <f>VLOOKUP(B209,'[1]Select territorios'!$C:$L,10,0)</f>
        <v>10.4589</v>
      </c>
      <c r="I209" s="3" t="str">
        <f>VLOOKUP(B209,'[1]Select territorios'!$C:$M,11,0)</f>
        <v>-73.2536</v>
      </c>
      <c r="J209" s="5" t="s">
        <v>40</v>
      </c>
      <c r="K209" s="5">
        <v>1003275622</v>
      </c>
      <c r="L209" s="5">
        <v>3218847746</v>
      </c>
      <c r="M209" s="5" t="s">
        <v>41</v>
      </c>
    </row>
    <row r="210" spans="1:13" ht="15.75" x14ac:dyDescent="0.25">
      <c r="A210" s="3">
        <v>6971</v>
      </c>
      <c r="B210" s="3">
        <v>17072</v>
      </c>
      <c r="C210" s="3" t="s">
        <v>484</v>
      </c>
      <c r="D210" s="3" t="s">
        <v>485</v>
      </c>
      <c r="E210" s="4">
        <v>6986</v>
      </c>
      <c r="F210" s="3" t="s">
        <v>294</v>
      </c>
      <c r="G210" s="3" t="s">
        <v>16</v>
      </c>
      <c r="H210" s="3" t="str">
        <f>VLOOKUP(B210,'[1]Select territorios'!$C:$L,10,0)</f>
        <v>9.6185</v>
      </c>
      <c r="I210" s="3" t="str">
        <f>VLOOKUP(B210,'[1]Select territorios'!$C:$M,11,0)</f>
        <v>-73.5977</v>
      </c>
      <c r="J210" s="5" t="s">
        <v>48</v>
      </c>
      <c r="K210" s="5">
        <v>1064795379</v>
      </c>
      <c r="L210" s="5">
        <v>3104688587</v>
      </c>
      <c r="M210" s="5" t="s">
        <v>49</v>
      </c>
    </row>
    <row r="211" spans="1:13" ht="15.75" x14ac:dyDescent="0.25">
      <c r="A211" s="3">
        <v>6971</v>
      </c>
      <c r="B211" s="3">
        <v>7018</v>
      </c>
      <c r="C211" s="3" t="s">
        <v>486</v>
      </c>
      <c r="D211" s="3" t="s">
        <v>487</v>
      </c>
      <c r="E211" s="4">
        <v>6988</v>
      </c>
      <c r="F211" s="3" t="s">
        <v>227</v>
      </c>
      <c r="G211" s="3" t="s">
        <v>22</v>
      </c>
      <c r="H211" s="3" t="str">
        <f>VLOOKUP(B211,'[1]Select territorios'!$C:$L,10,0)</f>
        <v>10.386577</v>
      </c>
      <c r="I211" s="3" t="str">
        <f>VLOOKUP(B211,'[1]Select territorios'!$C:$M,11,0)</f>
        <v>-73.170702</v>
      </c>
      <c r="J211" s="5" t="s">
        <v>23</v>
      </c>
      <c r="K211" s="5">
        <v>1065600058</v>
      </c>
      <c r="L211" s="5">
        <v>3123009293</v>
      </c>
      <c r="M211" s="5" t="s">
        <v>24</v>
      </c>
    </row>
    <row r="212" spans="1:13" ht="15.75" x14ac:dyDescent="0.25">
      <c r="A212" s="3">
        <v>6971</v>
      </c>
      <c r="B212" s="3">
        <v>18221</v>
      </c>
      <c r="C212" s="3" t="s">
        <v>488</v>
      </c>
      <c r="D212" s="3" t="s">
        <v>489</v>
      </c>
      <c r="E212" s="4">
        <v>8556</v>
      </c>
      <c r="F212" s="3" t="s">
        <v>36</v>
      </c>
      <c r="G212" s="3" t="s">
        <v>16</v>
      </c>
      <c r="H212" s="3" t="str">
        <f>VLOOKUP(B212,'[1]Select territorios'!$C:$L,10,0)</f>
        <v>10.4741</v>
      </c>
      <c r="I212" s="3" t="str">
        <f>VLOOKUP(B212,'[1]Select territorios'!$C:$M,11,0)</f>
        <v>-73.244</v>
      </c>
      <c r="J212" s="5" t="s">
        <v>23</v>
      </c>
      <c r="K212" s="5">
        <v>1065600058</v>
      </c>
      <c r="L212" s="5">
        <v>3123009293</v>
      </c>
      <c r="M212" s="5" t="s">
        <v>24</v>
      </c>
    </row>
    <row r="213" spans="1:13" ht="15.75" x14ac:dyDescent="0.25">
      <c r="A213" s="3">
        <v>6971</v>
      </c>
      <c r="B213" s="3">
        <v>18282</v>
      </c>
      <c r="C213" s="3" t="s">
        <v>490</v>
      </c>
      <c r="D213" s="3" t="s">
        <v>491</v>
      </c>
      <c r="E213" s="4">
        <v>8556</v>
      </c>
      <c r="F213" s="3" t="s">
        <v>36</v>
      </c>
      <c r="G213" s="3" t="s">
        <v>16</v>
      </c>
      <c r="H213" s="3" t="str">
        <f>VLOOKUP(B213,'[1]Select territorios'!$C:$L,10,0)</f>
        <v>10.471</v>
      </c>
      <c r="I213" s="3" t="str">
        <f>VLOOKUP(B213,'[1]Select territorios'!$C:$M,11,0)</f>
        <v>-73.2439</v>
      </c>
      <c r="J213" s="5" t="s">
        <v>23</v>
      </c>
      <c r="K213" s="5">
        <v>1065600058</v>
      </c>
      <c r="L213" s="5">
        <v>3123009293</v>
      </c>
      <c r="M213" s="5" t="s">
        <v>24</v>
      </c>
    </row>
    <row r="214" spans="1:13" ht="15.75" x14ac:dyDescent="0.25">
      <c r="A214" s="3">
        <v>6971</v>
      </c>
      <c r="B214" s="3">
        <v>18202</v>
      </c>
      <c r="C214" s="3" t="s">
        <v>492</v>
      </c>
      <c r="D214" s="3" t="s">
        <v>493</v>
      </c>
      <c r="E214" s="4">
        <v>6979</v>
      </c>
      <c r="F214" s="3" t="s">
        <v>57</v>
      </c>
      <c r="G214" s="3" t="s">
        <v>27</v>
      </c>
      <c r="H214" s="3" t="str">
        <f>VLOOKUP(B214,'[1]Select territorios'!$C:$L,10,0)</f>
        <v>9.201387</v>
      </c>
      <c r="I214" s="3" t="str">
        <f>VLOOKUP(B214,'[1]Select territorios'!$C:$M,11,0)</f>
        <v>-73.541592</v>
      </c>
      <c r="J214" s="5" t="s">
        <v>58</v>
      </c>
      <c r="K214" s="5">
        <v>1193146338</v>
      </c>
      <c r="L214" s="5">
        <v>3202114923</v>
      </c>
      <c r="M214" s="5" t="s">
        <v>59</v>
      </c>
    </row>
    <row r="215" spans="1:13" ht="15.75" x14ac:dyDescent="0.25">
      <c r="A215" s="3">
        <v>6971</v>
      </c>
      <c r="B215" s="3">
        <v>18208</v>
      </c>
      <c r="C215" s="3" t="s">
        <v>494</v>
      </c>
      <c r="D215" s="3" t="s">
        <v>495</v>
      </c>
      <c r="E215" s="4">
        <v>6977</v>
      </c>
      <c r="F215" s="3" t="s">
        <v>52</v>
      </c>
      <c r="G215" s="3" t="s">
        <v>16</v>
      </c>
      <c r="H215" s="3" t="str">
        <f>VLOOKUP(B215,'[1]Select territorios'!$C:$L,10,0)</f>
        <v>9.3634</v>
      </c>
      <c r="I215" s="3" t="str">
        <f>VLOOKUP(B215,'[1]Select territorios'!$C:$M,11,0)</f>
        <v>-73.5988</v>
      </c>
      <c r="J215" s="5" t="s">
        <v>48</v>
      </c>
      <c r="K215" s="5">
        <v>1064795379</v>
      </c>
      <c r="L215" s="5">
        <v>3104688587</v>
      </c>
      <c r="M215" s="5" t="s">
        <v>49</v>
      </c>
    </row>
    <row r="216" spans="1:13" ht="15.75" x14ac:dyDescent="0.25">
      <c r="A216" s="3">
        <v>6971</v>
      </c>
      <c r="B216" s="3">
        <v>18453</v>
      </c>
      <c r="C216" s="3" t="s">
        <v>496</v>
      </c>
      <c r="D216" s="3" t="s">
        <v>497</v>
      </c>
      <c r="E216" s="4">
        <v>18936</v>
      </c>
      <c r="F216" s="3" t="s">
        <v>21</v>
      </c>
      <c r="G216" s="3" t="s">
        <v>27</v>
      </c>
      <c r="H216" s="3" t="str">
        <f>VLOOKUP(B216,'[1]Select territorios'!$C:$L,10,0)</f>
        <v>10.53116</v>
      </c>
      <c r="I216" s="3" t="str">
        <f>VLOOKUP(B216,'[1]Select territorios'!$C:$M,11,0)</f>
        <v>-73.222545</v>
      </c>
      <c r="J216" s="5" t="s">
        <v>23</v>
      </c>
      <c r="K216" s="5">
        <v>1065600058</v>
      </c>
      <c r="L216" s="5">
        <v>3123009293</v>
      </c>
      <c r="M216" s="5" t="s">
        <v>24</v>
      </c>
    </row>
    <row r="217" spans="1:13" ht="15.75" x14ac:dyDescent="0.25">
      <c r="A217" s="3">
        <v>6971</v>
      </c>
      <c r="B217" s="3">
        <v>18593</v>
      </c>
      <c r="C217" s="3" t="s">
        <v>498</v>
      </c>
      <c r="D217" s="3" t="s">
        <v>499</v>
      </c>
      <c r="E217" s="4">
        <v>6998</v>
      </c>
      <c r="F217" s="3" t="s">
        <v>106</v>
      </c>
      <c r="G217" s="3" t="s">
        <v>27</v>
      </c>
      <c r="H217" s="3" t="str">
        <f>VLOOKUP(B217,'[1]Select territorios'!$C:$L,10,0)</f>
        <v>8.00199</v>
      </c>
      <c r="I217" s="3" t="str">
        <f>VLOOKUP(B217,'[1]Select territorios'!$C:$M,11,0)</f>
        <v>-73.51144</v>
      </c>
      <c r="J217" s="5" t="s">
        <v>107</v>
      </c>
      <c r="K217" s="5">
        <v>1005281494</v>
      </c>
      <c r="L217" s="5">
        <v>3158541035</v>
      </c>
      <c r="M217" s="5" t="s">
        <v>108</v>
      </c>
    </row>
    <row r="218" spans="1:13" ht="15.75" x14ac:dyDescent="0.25">
      <c r="A218" s="3">
        <v>6971</v>
      </c>
      <c r="B218" s="3">
        <v>19044</v>
      </c>
      <c r="C218" s="3" t="s">
        <v>500</v>
      </c>
      <c r="D218" s="3" t="s">
        <v>501</v>
      </c>
      <c r="E218" s="4">
        <v>8562</v>
      </c>
      <c r="F218" s="3" t="s">
        <v>213</v>
      </c>
      <c r="G218" s="3" t="s">
        <v>27</v>
      </c>
      <c r="H218" s="3" t="str">
        <f>VLOOKUP(B218,'[1]Select territorios'!$C:$L,10,0)</f>
        <v>8.297927</v>
      </c>
      <c r="I218" s="3" t="str">
        <f>VLOOKUP(B218,'[1]Select territorios'!$C:$M,11,0)</f>
        <v>-73.626206</v>
      </c>
      <c r="J218" s="5" t="s">
        <v>71</v>
      </c>
      <c r="K218" s="5">
        <v>1065818056</v>
      </c>
      <c r="L218" s="5">
        <v>3145467066</v>
      </c>
      <c r="M218" s="5" t="s">
        <v>72</v>
      </c>
    </row>
    <row r="219" spans="1:13" ht="15.75" x14ac:dyDescent="0.25">
      <c r="A219" s="3">
        <v>6971</v>
      </c>
      <c r="B219" s="3">
        <v>16809</v>
      </c>
      <c r="C219" s="3" t="s">
        <v>502</v>
      </c>
      <c r="D219" s="3" t="s">
        <v>503</v>
      </c>
      <c r="E219" s="4">
        <v>17176</v>
      </c>
      <c r="F219" s="3" t="s">
        <v>189</v>
      </c>
      <c r="G219" s="3" t="s">
        <v>16</v>
      </c>
      <c r="H219" s="3" t="str">
        <f>VLOOKUP(B219,'[1]Select territorios'!$C:$L,10,0)</f>
        <v>10.4643</v>
      </c>
      <c r="I219" s="3" t="str">
        <f>VLOOKUP(B219,'[1]Select territorios'!$C:$M,11,0)</f>
        <v>-73.2411</v>
      </c>
      <c r="J219" s="5" t="s">
        <v>40</v>
      </c>
      <c r="K219" s="5">
        <v>1003275622</v>
      </c>
      <c r="L219" s="5">
        <v>3218847746</v>
      </c>
      <c r="M219" s="5" t="s">
        <v>41</v>
      </c>
    </row>
    <row r="220" spans="1:13" ht="15.75" x14ac:dyDescent="0.25">
      <c r="A220" s="3">
        <v>6971</v>
      </c>
      <c r="B220" s="3">
        <v>17377</v>
      </c>
      <c r="C220" s="3" t="s">
        <v>504</v>
      </c>
      <c r="D220" s="3" t="s">
        <v>505</v>
      </c>
      <c r="E220" s="4">
        <v>18936</v>
      </c>
      <c r="F220" s="3" t="s">
        <v>21</v>
      </c>
      <c r="G220" s="3" t="s">
        <v>27</v>
      </c>
      <c r="H220" s="3" t="str">
        <f>VLOOKUP(B220,'[1]Select territorios'!$C:$L,10,0)</f>
        <v>10.58759</v>
      </c>
      <c r="I220" s="3" t="str">
        <f>VLOOKUP(B220,'[1]Select territorios'!$C:$M,11,0)</f>
        <v>-73.142577</v>
      </c>
      <c r="J220" s="5" t="s">
        <v>23</v>
      </c>
      <c r="K220" s="5">
        <v>1065600058</v>
      </c>
      <c r="L220" s="5">
        <v>3123009293</v>
      </c>
      <c r="M220" s="5" t="s">
        <v>24</v>
      </c>
    </row>
    <row r="221" spans="1:13" ht="15.75" x14ac:dyDescent="0.25">
      <c r="A221" s="3">
        <v>6971</v>
      </c>
      <c r="B221" s="3">
        <v>7119</v>
      </c>
      <c r="C221" s="3" t="s">
        <v>506</v>
      </c>
      <c r="D221" s="3" t="s">
        <v>507</v>
      </c>
      <c r="E221" s="4">
        <v>18936</v>
      </c>
      <c r="F221" s="3" t="s">
        <v>21</v>
      </c>
      <c r="G221" s="3" t="s">
        <v>27</v>
      </c>
      <c r="H221" s="3" t="str">
        <f>VLOOKUP(B221,'[1]Select territorios'!$C:$L,10,0)</f>
        <v>10.475591</v>
      </c>
      <c r="I221" s="3" t="str">
        <f>VLOOKUP(B221,'[1]Select territorios'!$C:$M,11,0)</f>
        <v>-73.259615</v>
      </c>
      <c r="J221" s="5" t="s">
        <v>23</v>
      </c>
      <c r="K221" s="5">
        <v>1065600058</v>
      </c>
      <c r="L221" s="5">
        <v>3123009293</v>
      </c>
      <c r="M221" s="5" t="s">
        <v>24</v>
      </c>
    </row>
    <row r="222" spans="1:13" ht="15.75" x14ac:dyDescent="0.25">
      <c r="A222" s="3">
        <v>6971</v>
      </c>
      <c r="B222" s="3">
        <v>17410</v>
      </c>
      <c r="C222" s="3" t="s">
        <v>508</v>
      </c>
      <c r="D222" s="3" t="s">
        <v>509</v>
      </c>
      <c r="E222" s="4">
        <v>17176</v>
      </c>
      <c r="F222" s="3" t="s">
        <v>189</v>
      </c>
      <c r="G222" s="3" t="s">
        <v>16</v>
      </c>
      <c r="H222" s="3" t="str">
        <f>VLOOKUP(B222,'[1]Select territorios'!$C:$L,10,0)</f>
        <v>10.4551</v>
      </c>
      <c r="I222" s="3" t="str">
        <f>VLOOKUP(B222,'[1]Select territorios'!$C:$M,11,0)</f>
        <v>-73.2418</v>
      </c>
      <c r="J222" s="5" t="s">
        <v>40</v>
      </c>
      <c r="K222" s="5">
        <v>1003275622</v>
      </c>
      <c r="L222" s="5">
        <v>3218847746</v>
      </c>
      <c r="M222" s="5" t="s">
        <v>41</v>
      </c>
    </row>
    <row r="223" spans="1:13" ht="15.75" x14ac:dyDescent="0.25">
      <c r="A223" s="3">
        <v>6971</v>
      </c>
      <c r="B223" s="3">
        <v>7159</v>
      </c>
      <c r="C223" s="3" t="s">
        <v>510</v>
      </c>
      <c r="D223" s="3" t="s">
        <v>511</v>
      </c>
      <c r="E223" s="4">
        <v>17176</v>
      </c>
      <c r="F223" s="3" t="s">
        <v>189</v>
      </c>
      <c r="G223" s="3" t="s">
        <v>16</v>
      </c>
      <c r="H223" s="3" t="str">
        <f>VLOOKUP(B223,'[1]Select territorios'!$C:$L,10,0)</f>
        <v>10.463</v>
      </c>
      <c r="I223" s="3" t="str">
        <f>VLOOKUP(B223,'[1]Select territorios'!$C:$M,11,0)</f>
        <v>-73.2303</v>
      </c>
      <c r="J223" s="5" t="s">
        <v>40</v>
      </c>
      <c r="K223" s="5">
        <v>1003275622</v>
      </c>
      <c r="L223" s="5">
        <v>3218847746</v>
      </c>
      <c r="M223" s="5" t="s">
        <v>41</v>
      </c>
    </row>
    <row r="224" spans="1:13" ht="15.75" x14ac:dyDescent="0.25">
      <c r="A224" s="3">
        <v>6971</v>
      </c>
      <c r="B224" s="3">
        <v>19107</v>
      </c>
      <c r="C224" s="3" t="s">
        <v>512</v>
      </c>
      <c r="D224" s="3" t="s">
        <v>513</v>
      </c>
      <c r="E224" s="4">
        <v>6972</v>
      </c>
      <c r="F224" s="3" t="s">
        <v>173</v>
      </c>
      <c r="G224" s="3" t="s">
        <v>27</v>
      </c>
      <c r="H224" s="3" t="str">
        <f>VLOOKUP(B224,'[1]Select territorios'!$C:$L,10,0)</f>
        <v>8.311523</v>
      </c>
      <c r="I224" s="3" t="str">
        <f>VLOOKUP(B224,'[1]Select territorios'!$C:$M,11,0)</f>
        <v>-73.616458</v>
      </c>
      <c r="J224" s="5" t="s">
        <v>71</v>
      </c>
      <c r="K224" s="5">
        <v>1065818056</v>
      </c>
      <c r="L224" s="5">
        <v>3145467066</v>
      </c>
      <c r="M224" s="5" t="s">
        <v>72</v>
      </c>
    </row>
    <row r="225" spans="1:13" ht="15.75" x14ac:dyDescent="0.25">
      <c r="A225" s="3">
        <v>6971</v>
      </c>
      <c r="B225" s="3">
        <v>19724</v>
      </c>
      <c r="C225" s="3" t="s">
        <v>514</v>
      </c>
      <c r="D225" s="3" t="s">
        <v>515</v>
      </c>
      <c r="E225" s="4">
        <v>6990</v>
      </c>
      <c r="F225" s="3" t="s">
        <v>131</v>
      </c>
      <c r="G225" s="3" t="s">
        <v>27</v>
      </c>
      <c r="H225" s="3" t="str">
        <f>VLOOKUP(B225,'[1]Select territorios'!$C:$L,10,0)</f>
        <v>8.877096</v>
      </c>
      <c r="I225" s="3" t="str">
        <f>VLOOKUP(B225,'[1]Select territorios'!$C:$M,11,0)</f>
        <v>-73.693982</v>
      </c>
      <c r="J225" s="5" t="s">
        <v>71</v>
      </c>
      <c r="K225" s="5">
        <v>1065818056</v>
      </c>
      <c r="L225" s="5">
        <v>3145467066</v>
      </c>
      <c r="M225" s="5" t="s">
        <v>72</v>
      </c>
    </row>
    <row r="226" spans="1:13" ht="15.75" x14ac:dyDescent="0.25">
      <c r="A226" s="3">
        <v>6971</v>
      </c>
      <c r="B226" s="3">
        <v>19108</v>
      </c>
      <c r="C226" s="3" t="s">
        <v>516</v>
      </c>
      <c r="D226" s="3" t="s">
        <v>517</v>
      </c>
      <c r="E226" s="4">
        <v>23794</v>
      </c>
      <c r="F226" s="3" t="s">
        <v>242</v>
      </c>
      <c r="G226" s="3" t="s">
        <v>27</v>
      </c>
      <c r="H226" s="3" t="str">
        <f>VLOOKUP(B226,'[1]Select territorios'!$C:$L,10,0)</f>
        <v>10.488364</v>
      </c>
      <c r="I226" s="3" t="str">
        <f>VLOOKUP(B226,'[1]Select territorios'!$C:$M,11,0)</f>
        <v>-73.274615</v>
      </c>
      <c r="J226" s="5" t="s">
        <v>17</v>
      </c>
      <c r="K226" s="5">
        <v>15173890</v>
      </c>
      <c r="L226" s="5">
        <v>3002039991</v>
      </c>
      <c r="M226" s="5" t="s">
        <v>18</v>
      </c>
    </row>
    <row r="227" spans="1:13" ht="15.75" x14ac:dyDescent="0.25">
      <c r="A227" s="3">
        <v>6971</v>
      </c>
      <c r="B227" s="3">
        <v>20093</v>
      </c>
      <c r="C227" s="3" t="s">
        <v>518</v>
      </c>
      <c r="D227" s="3" t="s">
        <v>519</v>
      </c>
      <c r="E227" s="4">
        <v>8556</v>
      </c>
      <c r="F227" s="3" t="s">
        <v>36</v>
      </c>
      <c r="G227" s="3" t="s">
        <v>16</v>
      </c>
      <c r="H227" s="3" t="str">
        <f>VLOOKUP(B227,'[1]Select territorios'!$C:$L,10,0)</f>
        <v>10.4714</v>
      </c>
      <c r="I227" s="3" t="str">
        <f>VLOOKUP(B227,'[1]Select territorios'!$C:$M,11,0)</f>
        <v>-73.2376</v>
      </c>
      <c r="J227" s="5" t="s">
        <v>23</v>
      </c>
      <c r="K227" s="5">
        <v>1065600058</v>
      </c>
      <c r="L227" s="5">
        <v>3123009293</v>
      </c>
      <c r="M227" s="5" t="s">
        <v>24</v>
      </c>
    </row>
    <row r="228" spans="1:13" ht="15.75" x14ac:dyDescent="0.25">
      <c r="A228" s="3">
        <v>6971</v>
      </c>
      <c r="B228" s="3">
        <v>20092</v>
      </c>
      <c r="C228" s="3" t="s">
        <v>520</v>
      </c>
      <c r="D228" s="3" t="s">
        <v>521</v>
      </c>
      <c r="E228" s="4">
        <v>17176</v>
      </c>
      <c r="F228" s="3" t="s">
        <v>189</v>
      </c>
      <c r="G228" s="3" t="s">
        <v>16</v>
      </c>
      <c r="H228" s="3" t="str">
        <f>VLOOKUP(B228,'[1]Select territorios'!$C:$L,10,0)</f>
        <v>10.4573</v>
      </c>
      <c r="I228" s="3" t="str">
        <f>VLOOKUP(B228,'[1]Select territorios'!$C:$M,11,0)</f>
        <v>-73.2342</v>
      </c>
      <c r="J228" s="5" t="s">
        <v>40</v>
      </c>
      <c r="K228" s="5">
        <v>1003275622</v>
      </c>
      <c r="L228" s="5">
        <v>3218847746</v>
      </c>
      <c r="M228" s="5" t="s">
        <v>41</v>
      </c>
    </row>
    <row r="229" spans="1:13" ht="15.75" x14ac:dyDescent="0.25">
      <c r="A229" s="3">
        <v>6971</v>
      </c>
      <c r="B229" s="3">
        <v>20191</v>
      </c>
      <c r="C229" s="3" t="s">
        <v>522</v>
      </c>
      <c r="D229" s="3" t="s">
        <v>523</v>
      </c>
      <c r="E229" s="4">
        <v>6979</v>
      </c>
      <c r="F229" s="3" t="s">
        <v>57</v>
      </c>
      <c r="G229" s="3" t="s">
        <v>27</v>
      </c>
      <c r="H229" s="3" t="str">
        <f>VLOOKUP(B229,'[1]Select territorios'!$C:$L,10,0)</f>
        <v>9.200149</v>
      </c>
      <c r="I229" s="3" t="str">
        <f>VLOOKUP(B229,'[1]Select territorios'!$C:$M,11,0)</f>
        <v>-73.541697</v>
      </c>
      <c r="J229" s="5" t="s">
        <v>58</v>
      </c>
      <c r="K229" s="5">
        <v>1193146338</v>
      </c>
      <c r="L229" s="5">
        <v>3202114923</v>
      </c>
      <c r="M229" s="5" t="s">
        <v>59</v>
      </c>
    </row>
    <row r="230" spans="1:13" ht="15.75" x14ac:dyDescent="0.25">
      <c r="A230" s="3">
        <v>6971</v>
      </c>
      <c r="B230" s="3">
        <v>20163</v>
      </c>
      <c r="C230" s="3" t="s">
        <v>524</v>
      </c>
      <c r="D230" s="3" t="s">
        <v>525</v>
      </c>
      <c r="E230" s="4">
        <v>8561</v>
      </c>
      <c r="F230" s="3" t="s">
        <v>168</v>
      </c>
      <c r="G230" s="3" t="s">
        <v>16</v>
      </c>
      <c r="H230" s="3" t="str">
        <f>VLOOKUP(B230,'[1]Select territorios'!$C:$L,10,0)</f>
        <v>8.307185</v>
      </c>
      <c r="I230" s="3" t="str">
        <f>VLOOKUP(B230,'[1]Select territorios'!$C:$M,11,0)</f>
        <v>-73.616097</v>
      </c>
      <c r="J230" s="5" t="s">
        <v>107</v>
      </c>
      <c r="K230" s="5">
        <v>1005281494</v>
      </c>
      <c r="L230" s="5">
        <v>3158541035</v>
      </c>
      <c r="M230" s="5" t="s">
        <v>108</v>
      </c>
    </row>
    <row r="231" spans="1:13" ht="15.75" x14ac:dyDescent="0.25">
      <c r="A231" s="3">
        <v>6971</v>
      </c>
      <c r="B231" s="3">
        <v>20278</v>
      </c>
      <c r="C231" s="3" t="s">
        <v>526</v>
      </c>
      <c r="D231" s="3" t="s">
        <v>527</v>
      </c>
      <c r="E231" s="4">
        <v>6975</v>
      </c>
      <c r="F231" s="3" t="s">
        <v>78</v>
      </c>
      <c r="G231" s="3" t="s">
        <v>16</v>
      </c>
      <c r="H231" s="3" t="str">
        <f>VLOOKUP(B231,'[1]Select territorios'!$C:$L,10,0)</f>
        <v>9.973698</v>
      </c>
      <c r="I231" s="3" t="str">
        <f>VLOOKUP(B231,'[1]Select territorios'!$C:$M,11,0)</f>
        <v>-73.885145</v>
      </c>
      <c r="J231" s="5" t="s">
        <v>48</v>
      </c>
      <c r="K231" s="5">
        <v>1064795379</v>
      </c>
      <c r="L231" s="5">
        <v>3104688587</v>
      </c>
      <c r="M231" s="5" t="s">
        <v>49</v>
      </c>
    </row>
    <row r="232" spans="1:13" ht="15.75" x14ac:dyDescent="0.25">
      <c r="A232" s="3">
        <v>6971</v>
      </c>
      <c r="B232" s="3">
        <v>20188</v>
      </c>
      <c r="C232" s="3" t="s">
        <v>528</v>
      </c>
      <c r="D232" s="3" t="s">
        <v>529</v>
      </c>
      <c r="E232" s="4">
        <v>18936</v>
      </c>
      <c r="F232" s="3" t="s">
        <v>21</v>
      </c>
      <c r="G232" s="3" t="s">
        <v>16</v>
      </c>
      <c r="H232" s="3" t="str">
        <f>VLOOKUP(B232,'[1]Select territorios'!$C:$L,10,0)</f>
        <v>10.472501</v>
      </c>
      <c r="I232" s="3" t="str">
        <f>VLOOKUP(B232,'[1]Select territorios'!$C:$M,11,0)</f>
        <v>-73.258069</v>
      </c>
      <c r="J232" s="5" t="s">
        <v>23</v>
      </c>
      <c r="K232" s="5">
        <v>1065600058</v>
      </c>
      <c r="L232" s="5">
        <v>3123009293</v>
      </c>
      <c r="M232" s="5" t="s">
        <v>24</v>
      </c>
    </row>
    <row r="233" spans="1:13" ht="15.75" x14ac:dyDescent="0.25">
      <c r="A233" s="3">
        <v>6971</v>
      </c>
      <c r="B233" s="3">
        <v>9111</v>
      </c>
      <c r="C233" s="3" t="s">
        <v>530</v>
      </c>
      <c r="D233" s="3" t="s">
        <v>531</v>
      </c>
      <c r="E233" s="4">
        <v>20329</v>
      </c>
      <c r="F233" s="3" t="s">
        <v>152</v>
      </c>
      <c r="G233" s="3" t="s">
        <v>27</v>
      </c>
      <c r="H233" s="3" t="str">
        <f>VLOOKUP(B233,'[1]Select territorios'!$C:$L,10,0)</f>
        <v>9.86405</v>
      </c>
      <c r="I233" s="3" t="str">
        <f>VLOOKUP(B233,'[1]Select territorios'!$C:$M,11,0)</f>
        <v>-73.25021</v>
      </c>
      <c r="J233" s="5" t="s">
        <v>58</v>
      </c>
      <c r="K233" s="5">
        <v>1193146338</v>
      </c>
      <c r="L233" s="5">
        <v>3202114923</v>
      </c>
      <c r="M233" s="5" t="s">
        <v>59</v>
      </c>
    </row>
    <row r="234" spans="1:13" ht="15.75" x14ac:dyDescent="0.25">
      <c r="A234" s="3">
        <v>6971</v>
      </c>
      <c r="B234" s="3">
        <v>20187</v>
      </c>
      <c r="C234" s="3" t="s">
        <v>532</v>
      </c>
      <c r="D234" s="3" t="s">
        <v>533</v>
      </c>
      <c r="E234" s="4">
        <v>7001</v>
      </c>
      <c r="F234" s="3" t="s">
        <v>55</v>
      </c>
      <c r="G234" s="3" t="s">
        <v>16</v>
      </c>
      <c r="H234" s="3" t="str">
        <f>VLOOKUP(B234,'[1]Select territorios'!$C:$L,10,0)</f>
        <v>10.4765</v>
      </c>
      <c r="I234" s="3" t="str">
        <f>VLOOKUP(B234,'[1]Select territorios'!$C:$M,11,0)</f>
        <v>-73.2498</v>
      </c>
      <c r="J234" s="5" t="s">
        <v>23</v>
      </c>
      <c r="K234" s="5">
        <v>1065600058</v>
      </c>
      <c r="L234" s="5">
        <v>3123009293</v>
      </c>
      <c r="M234" s="5" t="s">
        <v>24</v>
      </c>
    </row>
    <row r="235" spans="1:13" ht="15.75" x14ac:dyDescent="0.25">
      <c r="A235" s="3">
        <v>6971</v>
      </c>
      <c r="B235" s="3">
        <v>20298</v>
      </c>
      <c r="C235" s="3" t="s">
        <v>534</v>
      </c>
      <c r="D235" s="3" t="s">
        <v>535</v>
      </c>
      <c r="E235" s="4">
        <v>20329</v>
      </c>
      <c r="F235" s="3" t="s">
        <v>152</v>
      </c>
      <c r="G235" s="3" t="s">
        <v>22</v>
      </c>
      <c r="H235" s="3" t="str">
        <f>VLOOKUP(B235,'[1]Select territorios'!$C:$L,10,0)</f>
        <v>9.832734</v>
      </c>
      <c r="I235" s="3" t="str">
        <f>VLOOKUP(B235,'[1]Select territorios'!$C:$M,11,0)</f>
        <v>-73.265435</v>
      </c>
      <c r="J235" s="5" t="s">
        <v>58</v>
      </c>
      <c r="K235" s="5">
        <v>1193146338</v>
      </c>
      <c r="L235" s="5">
        <v>3202114923</v>
      </c>
      <c r="M235" s="5" t="s">
        <v>59</v>
      </c>
    </row>
    <row r="236" spans="1:13" ht="15.75" x14ac:dyDescent="0.25">
      <c r="A236" s="3">
        <v>6971</v>
      </c>
      <c r="B236" s="3">
        <v>20022</v>
      </c>
      <c r="C236" s="3" t="s">
        <v>536</v>
      </c>
      <c r="D236" s="3" t="s">
        <v>537</v>
      </c>
      <c r="E236" s="4">
        <v>8561</v>
      </c>
      <c r="F236" s="3" t="s">
        <v>168</v>
      </c>
      <c r="G236" s="3" t="s">
        <v>27</v>
      </c>
      <c r="H236" s="3" t="str">
        <f>VLOOKUP(B236,'[1]Select territorios'!$C:$L,10,0)</f>
        <v>8.294883</v>
      </c>
      <c r="I236" s="3" t="str">
        <f>VLOOKUP(B236,'[1]Select territorios'!$C:$M,11,0)</f>
        <v>-73.620793</v>
      </c>
      <c r="J236" s="5" t="s">
        <v>107</v>
      </c>
      <c r="K236" s="5">
        <v>1005281494</v>
      </c>
      <c r="L236" s="5">
        <v>3158541035</v>
      </c>
      <c r="M236" s="5" t="s">
        <v>108</v>
      </c>
    </row>
    <row r="237" spans="1:13" ht="15.75" x14ac:dyDescent="0.25">
      <c r="A237" s="3">
        <v>6971</v>
      </c>
      <c r="B237" s="3">
        <v>20330</v>
      </c>
      <c r="C237" s="3" t="s">
        <v>538</v>
      </c>
      <c r="D237" s="3" t="s">
        <v>539</v>
      </c>
      <c r="E237" s="4">
        <v>6997</v>
      </c>
      <c r="F237" s="3" t="s">
        <v>88</v>
      </c>
      <c r="G237" s="3" t="s">
        <v>16</v>
      </c>
      <c r="H237" s="3" t="str">
        <f>VLOOKUP(B237,'[1]Select territorios'!$C:$L,10,0)</f>
        <v>10.331605</v>
      </c>
      <c r="I237" s="3" t="str">
        <f>VLOOKUP(B237,'[1]Select territorios'!$C:$M,11,0)</f>
        <v>-73.181633</v>
      </c>
      <c r="J237" s="5" t="s">
        <v>17</v>
      </c>
      <c r="K237" s="5">
        <v>15173890</v>
      </c>
      <c r="L237" s="5">
        <v>3002039991</v>
      </c>
      <c r="M237" s="5" t="s">
        <v>18</v>
      </c>
    </row>
    <row r="238" spans="1:13" ht="15.75" x14ac:dyDescent="0.25">
      <c r="A238" s="3">
        <v>6971</v>
      </c>
      <c r="B238" s="3">
        <v>20325</v>
      </c>
      <c r="C238" s="3" t="s">
        <v>540</v>
      </c>
      <c r="D238" s="3" t="s">
        <v>541</v>
      </c>
      <c r="E238" s="4">
        <v>8558</v>
      </c>
      <c r="F238" s="3" t="s">
        <v>62</v>
      </c>
      <c r="G238" s="3" t="s">
        <v>16</v>
      </c>
      <c r="H238" s="3" t="str">
        <f>VLOOKUP(B238,'[1]Select territorios'!$C:$L,10,0)</f>
        <v>10.474734</v>
      </c>
      <c r="I238" s="3" t="str">
        <f>VLOOKUP(B238,'[1]Select territorios'!$C:$M,11,0)</f>
        <v>-73.269163</v>
      </c>
      <c r="J238" s="5" t="s">
        <v>23</v>
      </c>
      <c r="K238" s="5">
        <v>1065600058</v>
      </c>
      <c r="L238" s="5">
        <v>3123009293</v>
      </c>
      <c r="M238" s="5" t="s">
        <v>24</v>
      </c>
    </row>
    <row r="239" spans="1:13" ht="15.75" x14ac:dyDescent="0.25">
      <c r="A239" s="3">
        <v>6971</v>
      </c>
      <c r="B239" s="3">
        <v>20311</v>
      </c>
      <c r="C239" s="3" t="s">
        <v>542</v>
      </c>
      <c r="D239" s="3" t="s">
        <v>543</v>
      </c>
      <c r="E239" s="4">
        <v>18935</v>
      </c>
      <c r="F239" s="3" t="s">
        <v>44</v>
      </c>
      <c r="G239" s="3" t="s">
        <v>27</v>
      </c>
      <c r="H239" s="3" t="str">
        <f>VLOOKUP(B239,'[1]Select territorios'!$C:$L,10,0)</f>
        <v>10.4532</v>
      </c>
      <c r="I239" s="3" t="str">
        <f>VLOOKUP(B239,'[1]Select territorios'!$C:$M,11,0)</f>
        <v>-73.2537</v>
      </c>
      <c r="J239" s="5" t="s">
        <v>40</v>
      </c>
      <c r="K239" s="5">
        <v>1003275622</v>
      </c>
      <c r="L239" s="5">
        <v>3218847746</v>
      </c>
      <c r="M239" s="5" t="s">
        <v>41</v>
      </c>
    </row>
    <row r="240" spans="1:13" ht="15.75" x14ac:dyDescent="0.25">
      <c r="A240" s="3">
        <v>6971</v>
      </c>
      <c r="B240" s="3">
        <v>20282</v>
      </c>
      <c r="C240" s="3" t="s">
        <v>544</v>
      </c>
      <c r="D240" s="3" t="s">
        <v>545</v>
      </c>
      <c r="E240" s="4">
        <v>45386</v>
      </c>
      <c r="F240" s="3" t="s">
        <v>67</v>
      </c>
      <c r="G240" s="3" t="s">
        <v>16</v>
      </c>
      <c r="H240" s="3" t="str">
        <f>VLOOKUP(B240,'[1]Select territorios'!$C:$L,10,0)</f>
        <v>10.442565</v>
      </c>
      <c r="I240" s="3" t="str">
        <f>VLOOKUP(B240,'[1]Select territorios'!$C:$M,11,0)</f>
        <v>-73.256279</v>
      </c>
      <c r="J240" s="5" t="s">
        <v>40</v>
      </c>
      <c r="K240" s="5">
        <v>1003275622</v>
      </c>
      <c r="L240" s="5">
        <v>3218847746</v>
      </c>
      <c r="M240" s="5" t="s">
        <v>41</v>
      </c>
    </row>
    <row r="241" spans="1:13" ht="15.75" x14ac:dyDescent="0.25">
      <c r="A241" s="3">
        <v>6971</v>
      </c>
      <c r="B241" s="3">
        <v>20558</v>
      </c>
      <c r="C241" s="3" t="s">
        <v>546</v>
      </c>
      <c r="D241" s="3" t="s">
        <v>547</v>
      </c>
      <c r="E241" s="4">
        <v>6985</v>
      </c>
      <c r="F241" s="3" t="s">
        <v>101</v>
      </c>
      <c r="G241" s="3" t="s">
        <v>16</v>
      </c>
      <c r="H241" s="3" t="str">
        <f>VLOOKUP(B241,'[1]Select territorios'!$C:$L,10,0)</f>
        <v>9.5647</v>
      </c>
      <c r="I241" s="3" t="str">
        <f>VLOOKUP(B241,'[1]Select territorios'!$C:$M,11,0)</f>
        <v>-73.333901</v>
      </c>
      <c r="J241" s="5" t="s">
        <v>58</v>
      </c>
      <c r="K241" s="5">
        <v>1193146338</v>
      </c>
      <c r="L241" s="5">
        <v>3202114923</v>
      </c>
      <c r="M241" s="5" t="s">
        <v>59</v>
      </c>
    </row>
    <row r="242" spans="1:13" ht="15.75" x14ac:dyDescent="0.25">
      <c r="A242" s="3">
        <v>6971</v>
      </c>
      <c r="B242" s="3">
        <v>20602</v>
      </c>
      <c r="C242" s="3" t="s">
        <v>548</v>
      </c>
      <c r="D242" s="3" t="s">
        <v>549</v>
      </c>
      <c r="E242" s="4">
        <v>18935</v>
      </c>
      <c r="F242" s="3" t="s">
        <v>44</v>
      </c>
      <c r="G242" s="3" t="s">
        <v>27</v>
      </c>
      <c r="H242" s="3" t="str">
        <f>VLOOKUP(B242,'[1]Select territorios'!$C:$L,10,0)</f>
        <v>10.4543</v>
      </c>
      <c r="I242" s="3" t="str">
        <f>VLOOKUP(B242,'[1]Select territorios'!$C:$M,11,0)</f>
        <v>-73.25352</v>
      </c>
      <c r="J242" s="5" t="s">
        <v>40</v>
      </c>
      <c r="K242" s="5">
        <v>1003275622</v>
      </c>
      <c r="L242" s="5">
        <v>3218847746</v>
      </c>
      <c r="M242" s="5" t="s">
        <v>41</v>
      </c>
    </row>
    <row r="243" spans="1:13" ht="15.75" x14ac:dyDescent="0.25">
      <c r="A243" s="3">
        <v>6971</v>
      </c>
      <c r="B243" s="3">
        <v>20583</v>
      </c>
      <c r="C243" s="3" t="s">
        <v>550</v>
      </c>
      <c r="D243" s="3" t="s">
        <v>551</v>
      </c>
      <c r="E243" s="4">
        <v>6973</v>
      </c>
      <c r="F243" s="3" t="s">
        <v>128</v>
      </c>
      <c r="G243" s="3" t="s">
        <v>27</v>
      </c>
      <c r="H243" s="3" t="str">
        <f>VLOOKUP(B243,'[1]Select territorios'!$C:$L,10,0)</f>
        <v>9.4987</v>
      </c>
      <c r="I243" s="3" t="str">
        <f>VLOOKUP(B243,'[1]Select territorios'!$C:$M,11,0)</f>
        <v>-73.9769</v>
      </c>
      <c r="J243" s="5" t="s">
        <v>48</v>
      </c>
      <c r="K243" s="5">
        <v>1064795379</v>
      </c>
      <c r="L243" s="5">
        <v>3104688587</v>
      </c>
      <c r="M243" s="5" t="s">
        <v>49</v>
      </c>
    </row>
    <row r="244" spans="1:13" ht="15.75" x14ac:dyDescent="0.25">
      <c r="A244" s="3">
        <v>6971</v>
      </c>
      <c r="B244" s="3">
        <v>20488</v>
      </c>
      <c r="C244" s="3" t="s">
        <v>552</v>
      </c>
      <c r="D244" s="3" t="s">
        <v>553</v>
      </c>
      <c r="E244" s="4">
        <v>23794</v>
      </c>
      <c r="F244" s="3" t="s">
        <v>242</v>
      </c>
      <c r="G244" s="3" t="s">
        <v>16</v>
      </c>
      <c r="H244" s="3" t="str">
        <f>VLOOKUP(B244,'[1]Select territorios'!$C:$L,10,0)</f>
        <v>10.4820288</v>
      </c>
      <c r="I244" s="3" t="str">
        <f>VLOOKUP(B244,'[1]Select territorios'!$C:$M,11,0)</f>
        <v>-73.2765534</v>
      </c>
      <c r="J244" s="5" t="s">
        <v>17</v>
      </c>
      <c r="K244" s="5">
        <v>15173890</v>
      </c>
      <c r="L244" s="5">
        <v>3002039991</v>
      </c>
      <c r="M244" s="5" t="s">
        <v>18</v>
      </c>
    </row>
    <row r="245" spans="1:13" ht="15.75" x14ac:dyDescent="0.25">
      <c r="A245" s="3">
        <v>6971</v>
      </c>
      <c r="B245" s="3">
        <v>20931</v>
      </c>
      <c r="C245" s="3" t="s">
        <v>554</v>
      </c>
      <c r="D245" s="3" t="s">
        <v>555</v>
      </c>
      <c r="E245" s="4">
        <v>6973</v>
      </c>
      <c r="F245" s="3" t="s">
        <v>128</v>
      </c>
      <c r="G245" s="3" t="s">
        <v>16</v>
      </c>
      <c r="H245" s="3" t="str">
        <f>VLOOKUP(B245,'[1]Select territorios'!$C:$L,10,0)</f>
        <v>9.4994</v>
      </c>
      <c r="I245" s="3" t="str">
        <f>VLOOKUP(B245,'[1]Select territorios'!$C:$M,11,0)</f>
        <v>-73.9755</v>
      </c>
      <c r="J245" s="5" t="s">
        <v>48</v>
      </c>
      <c r="K245" s="5">
        <v>1064795379</v>
      </c>
      <c r="L245" s="5">
        <v>3104688587</v>
      </c>
      <c r="M245" s="5" t="s">
        <v>49</v>
      </c>
    </row>
    <row r="246" spans="1:13" ht="15.75" x14ac:dyDescent="0.25">
      <c r="A246" s="3">
        <v>6971</v>
      </c>
      <c r="B246" s="3">
        <v>20342</v>
      </c>
      <c r="C246" s="3" t="s">
        <v>556</v>
      </c>
      <c r="D246" s="3" t="s">
        <v>557</v>
      </c>
      <c r="E246" s="4">
        <v>6981</v>
      </c>
      <c r="F246" s="3" t="s">
        <v>47</v>
      </c>
      <c r="G246" s="3" t="s">
        <v>27</v>
      </c>
      <c r="H246" s="3" t="str">
        <f>VLOOKUP(B246,'[1]Select territorios'!$C:$L,10,0)</f>
        <v>9.6756</v>
      </c>
      <c r="I246" s="3" t="str">
        <f>VLOOKUP(B246,'[1]Select territorios'!$C:$M,11,0)</f>
        <v>-73.7413</v>
      </c>
      <c r="J246" s="5" t="s">
        <v>48</v>
      </c>
      <c r="K246" s="5">
        <v>1064795379</v>
      </c>
      <c r="L246" s="5">
        <v>3104688587</v>
      </c>
      <c r="M246" s="5" t="s">
        <v>49</v>
      </c>
    </row>
    <row r="247" spans="1:13" ht="15.75" x14ac:dyDescent="0.25">
      <c r="A247" s="3">
        <v>6971</v>
      </c>
      <c r="B247" s="3">
        <v>20930</v>
      </c>
      <c r="C247" s="3" t="s">
        <v>558</v>
      </c>
      <c r="D247" s="3" t="s">
        <v>559</v>
      </c>
      <c r="E247" s="4">
        <v>45388</v>
      </c>
      <c r="F247" s="3" t="s">
        <v>196</v>
      </c>
      <c r="G247" s="3" t="s">
        <v>16</v>
      </c>
      <c r="H247" s="3" t="str">
        <f>VLOOKUP(B247,'[1]Select territorios'!$C:$L,10,0)</f>
        <v>9.9743</v>
      </c>
      <c r="I247" s="3" t="str">
        <f>VLOOKUP(B247,'[1]Select territorios'!$C:$M,11,0)</f>
        <v>-73.8906</v>
      </c>
      <c r="J247" s="5" t="s">
        <v>48</v>
      </c>
      <c r="K247" s="5">
        <v>1064795379</v>
      </c>
      <c r="L247" s="5">
        <v>3104688587</v>
      </c>
      <c r="M247" s="5" t="s">
        <v>49</v>
      </c>
    </row>
    <row r="248" spans="1:13" ht="15.75" x14ac:dyDescent="0.25">
      <c r="A248" s="3">
        <v>6971</v>
      </c>
      <c r="B248" s="3">
        <v>21887</v>
      </c>
      <c r="C248" s="3" t="s">
        <v>560</v>
      </c>
      <c r="D248" s="3" t="s">
        <v>561</v>
      </c>
      <c r="E248" s="4">
        <v>9206</v>
      </c>
      <c r="F248" s="3" t="s">
        <v>33</v>
      </c>
      <c r="G248" s="3" t="s">
        <v>16</v>
      </c>
      <c r="H248" s="3" t="str">
        <f>VLOOKUP(B248,'[1]Select territorios'!$C:$L,10,0)</f>
        <v>10.45005</v>
      </c>
      <c r="I248" s="3" t="str">
        <f>VLOOKUP(B248,'[1]Select territorios'!$C:$M,11,0)</f>
        <v>-73.275928</v>
      </c>
      <c r="J248" s="5" t="s">
        <v>17</v>
      </c>
      <c r="K248" s="5">
        <v>15173890</v>
      </c>
      <c r="L248" s="5">
        <v>3002039991</v>
      </c>
      <c r="M248" s="5" t="s">
        <v>18</v>
      </c>
    </row>
    <row r="249" spans="1:13" ht="15.75" x14ac:dyDescent="0.25">
      <c r="A249" s="3">
        <v>6971</v>
      </c>
      <c r="B249" s="3">
        <v>21973</v>
      </c>
      <c r="C249" s="3" t="s">
        <v>562</v>
      </c>
      <c r="D249" s="3" t="s">
        <v>563</v>
      </c>
      <c r="E249" s="4">
        <v>18936</v>
      </c>
      <c r="F249" s="3" t="s">
        <v>21</v>
      </c>
      <c r="G249" s="3" t="s">
        <v>27</v>
      </c>
      <c r="H249" s="3" t="str">
        <f>VLOOKUP(B249,'[1]Select territorios'!$C:$L,10,0)</f>
        <v>10.481609</v>
      </c>
      <c r="I249" s="3" t="str">
        <f>VLOOKUP(B249,'[1]Select territorios'!$C:$M,11,0)</f>
        <v>-73.243069</v>
      </c>
      <c r="J249" s="5" t="s">
        <v>23</v>
      </c>
      <c r="K249" s="5">
        <v>1065600058</v>
      </c>
      <c r="L249" s="5">
        <v>3123009293</v>
      </c>
      <c r="M249" s="5" t="s">
        <v>24</v>
      </c>
    </row>
    <row r="250" spans="1:13" ht="15.75" x14ac:dyDescent="0.25">
      <c r="A250" s="3">
        <v>6971</v>
      </c>
      <c r="B250" s="3">
        <v>21897</v>
      </c>
      <c r="C250" s="3" t="s">
        <v>564</v>
      </c>
      <c r="D250" s="3" t="s">
        <v>565</v>
      </c>
      <c r="E250" s="4">
        <v>17191</v>
      </c>
      <c r="F250" s="3" t="s">
        <v>186</v>
      </c>
      <c r="G250" s="3" t="s">
        <v>27</v>
      </c>
      <c r="H250" s="3" t="str">
        <f>VLOOKUP(B250,'[1]Select territorios'!$C:$L,10,0)</f>
        <v>10.4685</v>
      </c>
      <c r="I250" s="3" t="str">
        <f>VLOOKUP(B250,'[1]Select territorios'!$C:$M,11,0)</f>
        <v>-73.2852</v>
      </c>
      <c r="J250" s="5" t="s">
        <v>17</v>
      </c>
      <c r="K250" s="5">
        <v>15173890</v>
      </c>
      <c r="L250" s="5">
        <v>3002039991</v>
      </c>
      <c r="M250" s="5" t="s">
        <v>18</v>
      </c>
    </row>
    <row r="251" spans="1:13" ht="15.75" x14ac:dyDescent="0.25">
      <c r="A251" s="3">
        <v>6971</v>
      </c>
      <c r="B251" s="3">
        <v>21895</v>
      </c>
      <c r="C251" s="3" t="s">
        <v>566</v>
      </c>
      <c r="D251" s="3" t="s">
        <v>567</v>
      </c>
      <c r="E251" s="4">
        <v>6994</v>
      </c>
      <c r="F251" s="3" t="s">
        <v>224</v>
      </c>
      <c r="G251" s="3" t="s">
        <v>27</v>
      </c>
      <c r="H251" s="3" t="str">
        <f>VLOOKUP(B251,'[1]Select territorios'!$C:$L,10,0)</f>
        <v>8.16891975</v>
      </c>
      <c r="I251" s="3" t="str">
        <f>VLOOKUP(B251,'[1]Select territorios'!$C:$M,11,0)</f>
        <v>-73.50802972</v>
      </c>
      <c r="J251" s="5" t="s">
        <v>107</v>
      </c>
      <c r="K251" s="5">
        <v>1005281494</v>
      </c>
      <c r="L251" s="5">
        <v>3158541035</v>
      </c>
      <c r="M251" s="5" t="s">
        <v>108</v>
      </c>
    </row>
    <row r="252" spans="1:13" ht="15.75" x14ac:dyDescent="0.25">
      <c r="A252" s="3">
        <v>6971</v>
      </c>
      <c r="B252" s="3">
        <v>21947</v>
      </c>
      <c r="C252" s="3" t="s">
        <v>568</v>
      </c>
      <c r="D252" s="3" t="s">
        <v>569</v>
      </c>
      <c r="E252" s="4">
        <v>6989</v>
      </c>
      <c r="F252" s="3" t="s">
        <v>39</v>
      </c>
      <c r="G252" s="3" t="s">
        <v>27</v>
      </c>
      <c r="H252" s="3" t="str">
        <f>VLOOKUP(B252,'[1]Select territorios'!$C:$L,10,0)</f>
        <v>10.3912</v>
      </c>
      <c r="I252" s="3" t="str">
        <f>VLOOKUP(B252,'[1]Select territorios'!$C:$M,11,0)</f>
        <v>-73.0302</v>
      </c>
      <c r="J252" s="5" t="s">
        <v>40</v>
      </c>
      <c r="K252" s="5">
        <v>1003275622</v>
      </c>
      <c r="L252" s="5">
        <v>3218847746</v>
      </c>
      <c r="M252" s="5" t="s">
        <v>41</v>
      </c>
    </row>
    <row r="253" spans="1:13" ht="15.75" x14ac:dyDescent="0.25">
      <c r="A253" s="3">
        <v>6971</v>
      </c>
      <c r="B253" s="3">
        <v>23751</v>
      </c>
      <c r="C253" s="3" t="s">
        <v>570</v>
      </c>
      <c r="D253" s="3" t="s">
        <v>571</v>
      </c>
      <c r="E253" s="4">
        <v>42463</v>
      </c>
      <c r="F253" s="3" t="s">
        <v>377</v>
      </c>
      <c r="G253" s="3" t="s">
        <v>16</v>
      </c>
      <c r="H253" s="3" t="str">
        <f>VLOOKUP(B253,'[1]Select territorios'!$C:$L,10,0)</f>
        <v>10.034533</v>
      </c>
      <c r="I253" s="3" t="str">
        <f>VLOOKUP(B253,'[1]Select territorios'!$C:$M,11,0)</f>
        <v>-73.229092</v>
      </c>
      <c r="J253" s="5" t="s">
        <v>58</v>
      </c>
      <c r="K253" s="5">
        <v>1193146338</v>
      </c>
      <c r="L253" s="5">
        <v>3202114923</v>
      </c>
      <c r="M253" s="5" t="s">
        <v>59</v>
      </c>
    </row>
    <row r="254" spans="1:13" ht="15.75" x14ac:dyDescent="0.25">
      <c r="A254" s="3">
        <v>6971</v>
      </c>
      <c r="B254" s="3">
        <v>23795</v>
      </c>
      <c r="C254" s="3" t="s">
        <v>572</v>
      </c>
      <c r="D254" s="3" t="s">
        <v>573</v>
      </c>
      <c r="E254" s="4">
        <v>23794</v>
      </c>
      <c r="F254" s="3" t="s">
        <v>242</v>
      </c>
      <c r="G254" s="3" t="s">
        <v>22</v>
      </c>
      <c r="H254" s="3" t="str">
        <f>VLOOKUP(B254,'[1]Select territorios'!$C:$L,10,0)</f>
        <v>10.4872348</v>
      </c>
      <c r="I254" s="3" t="str">
        <f>VLOOKUP(B254,'[1]Select territorios'!$C:$M,11,0)</f>
        <v>-73.27786</v>
      </c>
      <c r="J254" s="5" t="s">
        <v>17</v>
      </c>
      <c r="K254" s="5">
        <v>15173890</v>
      </c>
      <c r="L254" s="5">
        <v>3002039991</v>
      </c>
      <c r="M254" s="5" t="s">
        <v>18</v>
      </c>
    </row>
    <row r="255" spans="1:13" ht="15.75" x14ac:dyDescent="0.25">
      <c r="A255" s="3">
        <v>6971</v>
      </c>
      <c r="B255" s="3">
        <v>23609</v>
      </c>
      <c r="C255" s="3" t="s">
        <v>574</v>
      </c>
      <c r="D255" s="3" t="s">
        <v>575</v>
      </c>
      <c r="E255" s="4">
        <v>17176</v>
      </c>
      <c r="F255" s="3" t="s">
        <v>189</v>
      </c>
      <c r="G255" s="3" t="s">
        <v>16</v>
      </c>
      <c r="H255" s="3" t="str">
        <f>VLOOKUP(B255,'[1]Select territorios'!$C:$L,10,0)</f>
        <v>10.4601</v>
      </c>
      <c r="I255" s="3" t="str">
        <f>VLOOKUP(B255,'[1]Select territorios'!$C:$M,11,0)</f>
        <v>-73.2342</v>
      </c>
      <c r="J255" s="5" t="s">
        <v>40</v>
      </c>
      <c r="K255" s="5">
        <v>1003275622</v>
      </c>
      <c r="L255" s="5">
        <v>3218847746</v>
      </c>
      <c r="M255" s="5" t="s">
        <v>41</v>
      </c>
    </row>
    <row r="256" spans="1:13" ht="15.75" x14ac:dyDescent="0.25">
      <c r="A256" s="3">
        <v>6971</v>
      </c>
      <c r="B256" s="3">
        <v>23607</v>
      </c>
      <c r="C256" s="3" t="s">
        <v>576</v>
      </c>
      <c r="D256" s="3" t="s">
        <v>577</v>
      </c>
      <c r="E256" s="4">
        <v>8552</v>
      </c>
      <c r="F256" s="3" t="s">
        <v>30</v>
      </c>
      <c r="G256" s="3" t="s">
        <v>16</v>
      </c>
      <c r="H256" s="3" t="str">
        <f>VLOOKUP(B256,'[1]Select territorios'!$C:$L,10,0)</f>
        <v>10.466974</v>
      </c>
      <c r="I256" s="3" t="str">
        <f>VLOOKUP(B256,'[1]Select territorios'!$C:$M,11,0)</f>
        <v>-73.256051</v>
      </c>
      <c r="J256" s="5" t="s">
        <v>17</v>
      </c>
      <c r="K256" s="5">
        <v>15173890</v>
      </c>
      <c r="L256" s="5">
        <v>3002039991</v>
      </c>
      <c r="M256" s="5" t="s">
        <v>18</v>
      </c>
    </row>
    <row r="257" spans="1:13" ht="15.75" x14ac:dyDescent="0.25">
      <c r="A257" s="3">
        <v>6971</v>
      </c>
      <c r="B257" s="3">
        <v>23605</v>
      </c>
      <c r="C257" s="3" t="s">
        <v>578</v>
      </c>
      <c r="D257" s="3" t="s">
        <v>579</v>
      </c>
      <c r="E257" s="4">
        <v>45388</v>
      </c>
      <c r="F257" s="3" t="s">
        <v>196</v>
      </c>
      <c r="G257" s="3" t="s">
        <v>27</v>
      </c>
      <c r="H257" s="3" t="str">
        <f>VLOOKUP(B257,'[1]Select territorios'!$C:$L,10,0)</f>
        <v>9.9726</v>
      </c>
      <c r="I257" s="3" t="str">
        <f>VLOOKUP(B257,'[1]Select territorios'!$C:$M,11,0)</f>
        <v>-73.8928</v>
      </c>
      <c r="J257" s="5" t="s">
        <v>48</v>
      </c>
      <c r="K257" s="5">
        <v>1064795379</v>
      </c>
      <c r="L257" s="5">
        <v>3104688587</v>
      </c>
      <c r="M257" s="5" t="s">
        <v>49</v>
      </c>
    </row>
    <row r="258" spans="1:13" ht="15.75" x14ac:dyDescent="0.25">
      <c r="A258" s="3">
        <v>6971</v>
      </c>
      <c r="B258" s="3">
        <v>21994</v>
      </c>
      <c r="C258" s="3" t="s">
        <v>580</v>
      </c>
      <c r="D258" s="3" t="s">
        <v>581</v>
      </c>
      <c r="E258" s="4">
        <v>18936</v>
      </c>
      <c r="F258" s="3" t="s">
        <v>21</v>
      </c>
      <c r="G258" s="3" t="s">
        <v>16</v>
      </c>
      <c r="H258" s="3" t="str">
        <f>VLOOKUP(B258,'[1]Select territorios'!$C:$L,10,0)</f>
        <v>10.4807</v>
      </c>
      <c r="I258" s="3" t="str">
        <f>VLOOKUP(B258,'[1]Select territorios'!$C:$M,11,0)</f>
        <v>-73.2583</v>
      </c>
      <c r="J258" s="5" t="s">
        <v>23</v>
      </c>
      <c r="K258" s="5">
        <v>1065600058</v>
      </c>
      <c r="L258" s="5">
        <v>3123009293</v>
      </c>
      <c r="M258" s="5" t="s">
        <v>24</v>
      </c>
    </row>
    <row r="259" spans="1:13" ht="15.75" x14ac:dyDescent="0.25">
      <c r="A259" s="3">
        <v>6971</v>
      </c>
      <c r="B259" s="3">
        <v>21891</v>
      </c>
      <c r="C259" s="3" t="s">
        <v>582</v>
      </c>
      <c r="D259" s="3" t="s">
        <v>583</v>
      </c>
      <c r="E259" s="4">
        <v>6998</v>
      </c>
      <c r="F259" s="3" t="s">
        <v>106</v>
      </c>
      <c r="G259" s="3" t="s">
        <v>27</v>
      </c>
      <c r="H259" s="3" t="str">
        <f>VLOOKUP(B259,'[1]Select territorios'!$C:$L,10,0)</f>
        <v>7.997853</v>
      </c>
      <c r="I259" s="3" t="str">
        <f>VLOOKUP(B259,'[1]Select territorios'!$C:$M,11,0)</f>
        <v>-73.507483</v>
      </c>
      <c r="J259" s="5" t="s">
        <v>107</v>
      </c>
      <c r="K259" s="5">
        <v>1005281494</v>
      </c>
      <c r="L259" s="5">
        <v>3158541035</v>
      </c>
      <c r="M259" s="5" t="s">
        <v>108</v>
      </c>
    </row>
    <row r="260" spans="1:13" ht="15.75" x14ac:dyDescent="0.25">
      <c r="A260" s="3">
        <v>6971</v>
      </c>
      <c r="B260" s="3">
        <v>23900</v>
      </c>
      <c r="C260" s="3" t="s">
        <v>584</v>
      </c>
      <c r="D260" s="3" t="s">
        <v>585</v>
      </c>
      <c r="E260" s="4">
        <v>8558</v>
      </c>
      <c r="F260" s="3" t="s">
        <v>62</v>
      </c>
      <c r="G260" s="3" t="s">
        <v>27</v>
      </c>
      <c r="H260" s="3" t="str">
        <f>VLOOKUP(B260,'[1]Select territorios'!$C:$L,10,0)</f>
        <v>10.472639</v>
      </c>
      <c r="I260" s="3" t="str">
        <f>VLOOKUP(B260,'[1]Select territorios'!$C:$M,11,0)</f>
        <v>-73.268049</v>
      </c>
      <c r="J260" s="5" t="s">
        <v>23</v>
      </c>
      <c r="K260" s="5">
        <v>1065600058</v>
      </c>
      <c r="L260" s="5">
        <v>3123009293</v>
      </c>
      <c r="M260" s="5" t="s">
        <v>24</v>
      </c>
    </row>
    <row r="261" spans="1:13" ht="15.75" x14ac:dyDescent="0.25">
      <c r="A261" s="3">
        <v>6971</v>
      </c>
      <c r="B261" s="3">
        <v>24057</v>
      </c>
      <c r="C261" s="3" t="s">
        <v>586</v>
      </c>
      <c r="D261" s="3" t="s">
        <v>587</v>
      </c>
      <c r="E261" s="4">
        <v>42463</v>
      </c>
      <c r="F261" s="3" t="s">
        <v>377</v>
      </c>
      <c r="G261" s="3" t="s">
        <v>27</v>
      </c>
      <c r="H261" s="3" t="str">
        <f>VLOOKUP(B261,'[1]Select territorios'!$C:$L,10,0)</f>
        <v>10.033281</v>
      </c>
      <c r="I261" s="3" t="str">
        <f>VLOOKUP(B261,'[1]Select territorios'!$C:$M,11,0)</f>
        <v>-73.235601</v>
      </c>
      <c r="J261" s="5" t="s">
        <v>58</v>
      </c>
      <c r="K261" s="5">
        <v>1193146338</v>
      </c>
      <c r="L261" s="5">
        <v>3202114923</v>
      </c>
      <c r="M261" s="5" t="s">
        <v>59</v>
      </c>
    </row>
    <row r="262" spans="1:13" ht="15.75" x14ac:dyDescent="0.25">
      <c r="A262" s="3">
        <v>6971</v>
      </c>
      <c r="B262" s="3">
        <v>7237</v>
      </c>
      <c r="C262" s="3" t="s">
        <v>588</v>
      </c>
      <c r="D262" s="3" t="s">
        <v>589</v>
      </c>
      <c r="E262" s="4">
        <v>8556</v>
      </c>
      <c r="F262" s="3" t="s">
        <v>36</v>
      </c>
      <c r="G262" s="3" t="s">
        <v>16</v>
      </c>
      <c r="H262" s="3" t="str">
        <f>VLOOKUP(B262,'[1]Select territorios'!$C:$L,10,0)</f>
        <v>10.469</v>
      </c>
      <c r="I262" s="3" t="str">
        <f>VLOOKUP(B262,'[1]Select territorios'!$C:$M,11,0)</f>
        <v>-73.2358</v>
      </c>
      <c r="J262" s="5" t="s">
        <v>23</v>
      </c>
      <c r="K262" s="5">
        <v>1065600058</v>
      </c>
      <c r="L262" s="5">
        <v>3123009293</v>
      </c>
      <c r="M262" s="5" t="s">
        <v>24</v>
      </c>
    </row>
    <row r="263" spans="1:13" ht="15.75" x14ac:dyDescent="0.25">
      <c r="A263" s="3">
        <v>6971</v>
      </c>
      <c r="B263" s="3">
        <v>23996</v>
      </c>
      <c r="C263" s="3" t="s">
        <v>590</v>
      </c>
      <c r="D263" s="3" t="s">
        <v>591</v>
      </c>
      <c r="E263" s="4">
        <v>6998</v>
      </c>
      <c r="F263" s="3" t="s">
        <v>106</v>
      </c>
      <c r="G263" s="3" t="s">
        <v>27</v>
      </c>
      <c r="H263" s="3" t="str">
        <f>VLOOKUP(B263,'[1]Select territorios'!$C:$L,10,0)</f>
        <v>8.002892</v>
      </c>
      <c r="I263" s="3" t="str">
        <f>VLOOKUP(B263,'[1]Select territorios'!$C:$M,11,0)</f>
        <v>-73.512197</v>
      </c>
      <c r="J263" s="5" t="s">
        <v>107</v>
      </c>
      <c r="K263" s="5">
        <v>1005281494</v>
      </c>
      <c r="L263" s="5">
        <v>3158541035</v>
      </c>
      <c r="M263" s="5" t="s">
        <v>108</v>
      </c>
    </row>
    <row r="264" spans="1:13" ht="15.75" x14ac:dyDescent="0.25">
      <c r="A264" s="3">
        <v>6971</v>
      </c>
      <c r="B264" s="3">
        <v>23994</v>
      </c>
      <c r="C264" s="3" t="s">
        <v>592</v>
      </c>
      <c r="D264" s="3" t="s">
        <v>593</v>
      </c>
      <c r="E264" s="4">
        <v>6982</v>
      </c>
      <c r="F264" s="3" t="s">
        <v>118</v>
      </c>
      <c r="G264" s="3" t="s">
        <v>27</v>
      </c>
      <c r="H264" s="3" t="str">
        <f>VLOOKUP(B264,'[1]Select territorios'!$C:$L,10,0)</f>
        <v>8.32003</v>
      </c>
      <c r="I264" s="3" t="str">
        <f>VLOOKUP(B264,'[1]Select territorios'!$C:$M,11,0)</f>
        <v>-73.74513</v>
      </c>
      <c r="J264" s="5" t="s">
        <v>107</v>
      </c>
      <c r="K264" s="5">
        <v>1005281494</v>
      </c>
      <c r="L264" s="5">
        <v>3158541035</v>
      </c>
      <c r="M264" s="5" t="s">
        <v>108</v>
      </c>
    </row>
    <row r="265" spans="1:13" ht="15.75" x14ac:dyDescent="0.25">
      <c r="A265" s="3">
        <v>6971</v>
      </c>
      <c r="B265" s="3">
        <v>23997</v>
      </c>
      <c r="C265" s="3" t="s">
        <v>594</v>
      </c>
      <c r="D265" s="3" t="s">
        <v>595</v>
      </c>
      <c r="E265" s="4">
        <v>6982</v>
      </c>
      <c r="F265" s="3" t="s">
        <v>118</v>
      </c>
      <c r="G265" s="3" t="s">
        <v>27</v>
      </c>
      <c r="H265" s="3" t="str">
        <f>VLOOKUP(B265,'[1]Select territorios'!$C:$L,10,0)</f>
        <v>8.33386</v>
      </c>
      <c r="I265" s="3" t="str">
        <f>VLOOKUP(B265,'[1]Select territorios'!$C:$M,11,0)</f>
        <v>-73.730728</v>
      </c>
      <c r="J265" s="5" t="s">
        <v>107</v>
      </c>
      <c r="K265" s="5">
        <v>1005281494</v>
      </c>
      <c r="L265" s="5">
        <v>3158541035</v>
      </c>
      <c r="M265" s="5" t="s">
        <v>108</v>
      </c>
    </row>
    <row r="266" spans="1:13" ht="15.75" x14ac:dyDescent="0.25">
      <c r="A266" s="3">
        <v>6971</v>
      </c>
      <c r="B266" s="3">
        <v>39526</v>
      </c>
      <c r="C266" s="3" t="s">
        <v>596</v>
      </c>
      <c r="D266" s="3" t="s">
        <v>597</v>
      </c>
      <c r="E266" s="4">
        <v>8554</v>
      </c>
      <c r="F266" s="3" t="s">
        <v>81</v>
      </c>
      <c r="G266" s="3" t="s">
        <v>16</v>
      </c>
      <c r="H266" s="3" t="str">
        <f>VLOOKUP(B266,'[1]Select territorios'!$C:$L,10,0)</f>
        <v>10.4508</v>
      </c>
      <c r="I266" s="3" t="str">
        <f>VLOOKUP(B266,'[1]Select territorios'!$C:$M,11,0)</f>
        <v>-73.2391</v>
      </c>
      <c r="J266" s="5" t="s">
        <v>40</v>
      </c>
      <c r="K266" s="5">
        <v>1003275622</v>
      </c>
      <c r="L266" s="5">
        <v>3218847746</v>
      </c>
      <c r="M266" s="5" t="s">
        <v>41</v>
      </c>
    </row>
    <row r="267" spans="1:13" ht="15.75" x14ac:dyDescent="0.25">
      <c r="A267" s="3">
        <v>6971</v>
      </c>
      <c r="B267" s="3">
        <v>24051</v>
      </c>
      <c r="C267" s="3" t="s">
        <v>598</v>
      </c>
      <c r="D267" s="3" t="s">
        <v>599</v>
      </c>
      <c r="E267" s="4">
        <v>45386</v>
      </c>
      <c r="F267" s="3" t="s">
        <v>67</v>
      </c>
      <c r="G267" s="3" t="s">
        <v>16</v>
      </c>
      <c r="H267" s="3" t="str">
        <f>VLOOKUP(B267,'[1]Select territorios'!$C:$L,10,0)</f>
        <v>10.436233</v>
      </c>
      <c r="I267" s="3" t="str">
        <f>VLOOKUP(B267,'[1]Select territorios'!$C:$M,11,0)</f>
        <v>-73.256242</v>
      </c>
      <c r="J267" s="5" t="s">
        <v>40</v>
      </c>
      <c r="K267" s="5">
        <v>1003275622</v>
      </c>
      <c r="L267" s="5">
        <v>3218847746</v>
      </c>
      <c r="M267" s="5" t="s">
        <v>41</v>
      </c>
    </row>
    <row r="268" spans="1:13" ht="15.75" x14ac:dyDescent="0.25">
      <c r="A268" s="3">
        <v>6971</v>
      </c>
      <c r="B268" s="3">
        <v>24052</v>
      </c>
      <c r="C268" s="3" t="s">
        <v>600</v>
      </c>
      <c r="D268" s="3" t="s">
        <v>601</v>
      </c>
      <c r="E268" s="4">
        <v>45386</v>
      </c>
      <c r="F268" s="3" t="s">
        <v>67</v>
      </c>
      <c r="G268" s="3" t="s">
        <v>16</v>
      </c>
      <c r="H268" s="3" t="str">
        <f>VLOOKUP(B268,'[1]Select territorios'!$C:$L,10,0)</f>
        <v>10.430516</v>
      </c>
      <c r="I268" s="3" t="str">
        <f>VLOOKUP(B268,'[1]Select territorios'!$C:$M,11,0)</f>
        <v>-73.259362</v>
      </c>
      <c r="J268" s="5" t="s">
        <v>40</v>
      </c>
      <c r="K268" s="5">
        <v>1003275622</v>
      </c>
      <c r="L268" s="5">
        <v>3218847746</v>
      </c>
      <c r="M268" s="5" t="s">
        <v>41</v>
      </c>
    </row>
    <row r="269" spans="1:13" ht="15.75" x14ac:dyDescent="0.25">
      <c r="A269" s="3">
        <v>6971</v>
      </c>
      <c r="B269" s="3">
        <v>39539</v>
      </c>
      <c r="C269" s="3" t="s">
        <v>602</v>
      </c>
      <c r="D269" s="3" t="s">
        <v>603</v>
      </c>
      <c r="E269" s="4">
        <v>8556</v>
      </c>
      <c r="F269" s="3" t="s">
        <v>36</v>
      </c>
      <c r="G269" s="3" t="s">
        <v>16</v>
      </c>
      <c r="H269" s="3" t="str">
        <f>VLOOKUP(B269,'[1]Select territorios'!$C:$L,10,0)</f>
        <v>10.4692</v>
      </c>
      <c r="I269" s="3" t="str">
        <f>VLOOKUP(B269,'[1]Select territorios'!$C:$M,11,0)</f>
        <v>-73.2424</v>
      </c>
      <c r="J269" s="5" t="s">
        <v>23</v>
      </c>
      <c r="K269" s="5">
        <v>1065600058</v>
      </c>
      <c r="L269" s="5">
        <v>3123009293</v>
      </c>
      <c r="M269" s="5" t="s">
        <v>24</v>
      </c>
    </row>
    <row r="270" spans="1:13" ht="15.75" x14ac:dyDescent="0.25">
      <c r="A270" s="3">
        <v>6971</v>
      </c>
      <c r="B270" s="3">
        <v>24058</v>
      </c>
      <c r="C270" s="3" t="s">
        <v>604</v>
      </c>
      <c r="D270" s="3" t="s">
        <v>605</v>
      </c>
      <c r="E270" s="4">
        <v>6972</v>
      </c>
      <c r="F270" s="3" t="s">
        <v>173</v>
      </c>
      <c r="G270" s="3" t="s">
        <v>16</v>
      </c>
      <c r="H270" s="3" t="str">
        <f>VLOOKUP(B270,'[1]Select territorios'!$C:$L,10,0)</f>
        <v>8.309984722</v>
      </c>
      <c r="I270" s="3" t="str">
        <f>VLOOKUP(B270,'[1]Select territorios'!$C:$M,11,0)</f>
        <v>-73.61129905</v>
      </c>
      <c r="J270" s="5" t="s">
        <v>71</v>
      </c>
      <c r="K270" s="5">
        <v>1065818056</v>
      </c>
      <c r="L270" s="5">
        <v>3145467066</v>
      </c>
      <c r="M270" s="5" t="s">
        <v>72</v>
      </c>
    </row>
    <row r="271" spans="1:13" ht="15.75" x14ac:dyDescent="0.25">
      <c r="A271" s="3">
        <v>6971</v>
      </c>
      <c r="B271" s="3">
        <v>24053</v>
      </c>
      <c r="C271" s="3" t="s">
        <v>606</v>
      </c>
      <c r="D271" s="3" t="s">
        <v>607</v>
      </c>
      <c r="E271" s="4">
        <v>8558</v>
      </c>
      <c r="F271" s="3" t="s">
        <v>62</v>
      </c>
      <c r="G271" s="3" t="s">
        <v>16</v>
      </c>
      <c r="H271" s="3" t="str">
        <f>VLOOKUP(B271,'[1]Select territorios'!$C:$L,10,0)</f>
        <v>10.47000237</v>
      </c>
      <c r="I271" s="3" t="str">
        <f>VLOOKUP(B271,'[1]Select territorios'!$C:$M,11,0)</f>
        <v>-73.27099201</v>
      </c>
      <c r="J271" s="5" t="s">
        <v>23</v>
      </c>
      <c r="K271" s="5">
        <v>1065600058</v>
      </c>
      <c r="L271" s="5">
        <v>3123009293</v>
      </c>
      <c r="M271" s="5" t="s">
        <v>24</v>
      </c>
    </row>
    <row r="272" spans="1:13" ht="15.75" x14ac:dyDescent="0.25">
      <c r="A272" s="3">
        <v>6971</v>
      </c>
      <c r="B272" s="3">
        <v>23995</v>
      </c>
      <c r="C272" s="3" t="s">
        <v>608</v>
      </c>
      <c r="D272" s="3" t="s">
        <v>464</v>
      </c>
      <c r="E272" s="4">
        <v>6985</v>
      </c>
      <c r="F272" s="3" t="s">
        <v>101</v>
      </c>
      <c r="G272" s="3" t="s">
        <v>16</v>
      </c>
      <c r="H272" s="3" t="str">
        <f>VLOOKUP(B272,'[1]Select territorios'!$C:$L,10,0)</f>
        <v>9.5876</v>
      </c>
      <c r="I272" s="3" t="str">
        <f>VLOOKUP(B272,'[1]Select territorios'!$C:$M,11,0)</f>
        <v>-73.2333</v>
      </c>
      <c r="J272" s="5" t="s">
        <v>58</v>
      </c>
      <c r="K272" s="5">
        <v>1193146338</v>
      </c>
      <c r="L272" s="5">
        <v>3202114923</v>
      </c>
      <c r="M272" s="5" t="s">
        <v>59</v>
      </c>
    </row>
    <row r="273" spans="1:13" ht="15.75" x14ac:dyDescent="0.25">
      <c r="A273" s="3">
        <v>6971</v>
      </c>
      <c r="B273" s="3">
        <v>39554</v>
      </c>
      <c r="C273" s="3" t="s">
        <v>609</v>
      </c>
      <c r="D273" s="3" t="s">
        <v>610</v>
      </c>
      <c r="E273" s="4">
        <v>18936</v>
      </c>
      <c r="F273" s="3" t="s">
        <v>21</v>
      </c>
      <c r="G273" s="3" t="s">
        <v>16</v>
      </c>
      <c r="H273" s="3" t="str">
        <f>VLOOKUP(B273,'[1]Select territorios'!$C:$L,10,0)</f>
        <v>10.476247</v>
      </c>
      <c r="I273" s="3" t="str">
        <f>VLOOKUP(B273,'[1]Select territorios'!$C:$M,11,0)</f>
        <v>-73.2570328</v>
      </c>
      <c r="J273" s="5" t="s">
        <v>23</v>
      </c>
      <c r="K273" s="5">
        <v>1065600058</v>
      </c>
      <c r="L273" s="5">
        <v>3123009293</v>
      </c>
      <c r="M273" s="5" t="s">
        <v>24</v>
      </c>
    </row>
    <row r="274" spans="1:13" ht="15.75" x14ac:dyDescent="0.25">
      <c r="A274" s="3">
        <v>6971</v>
      </c>
      <c r="B274" s="3">
        <v>23998</v>
      </c>
      <c r="C274" s="3" t="s">
        <v>611</v>
      </c>
      <c r="D274" s="3" t="s">
        <v>612</v>
      </c>
      <c r="E274" s="4">
        <v>6983</v>
      </c>
      <c r="F274" s="3" t="s">
        <v>309</v>
      </c>
      <c r="G274" s="3" t="s">
        <v>27</v>
      </c>
      <c r="H274" s="3" t="str">
        <f>VLOOKUP(B274,'[1]Select territorios'!$C:$L,10,0)</f>
        <v>8.379525</v>
      </c>
      <c r="I274" s="3" t="str">
        <f>VLOOKUP(B274,'[1]Select territorios'!$C:$M,11,0)</f>
        <v>-73.372548</v>
      </c>
      <c r="J274" s="5" t="s">
        <v>107</v>
      </c>
      <c r="K274" s="5">
        <v>1005281494</v>
      </c>
      <c r="L274" s="5">
        <v>3158541035</v>
      </c>
      <c r="M274" s="5" t="s">
        <v>108</v>
      </c>
    </row>
    <row r="275" spans="1:13" ht="15.75" x14ac:dyDescent="0.25">
      <c r="A275" s="3">
        <v>6971</v>
      </c>
      <c r="B275" s="3">
        <v>39653</v>
      </c>
      <c r="C275" s="3" t="s">
        <v>613</v>
      </c>
      <c r="D275" s="3" t="s">
        <v>614</v>
      </c>
      <c r="E275" s="4">
        <v>6979</v>
      </c>
      <c r="F275" s="3" t="s">
        <v>57</v>
      </c>
      <c r="G275" s="3" t="s">
        <v>27</v>
      </c>
      <c r="H275" s="3" t="str">
        <f>VLOOKUP(B275,'[1]Select territorios'!$C:$L,10,0)</f>
        <v>9.199912</v>
      </c>
      <c r="I275" s="3" t="str">
        <f>VLOOKUP(B275,'[1]Select territorios'!$C:$M,11,0)</f>
        <v>-73.540819</v>
      </c>
      <c r="J275" s="5" t="s">
        <v>58</v>
      </c>
      <c r="K275" s="5">
        <v>1193146338</v>
      </c>
      <c r="L275" s="5">
        <v>3202114923</v>
      </c>
      <c r="M275" s="5" t="s">
        <v>59</v>
      </c>
    </row>
    <row r="276" spans="1:13" ht="15.75" x14ac:dyDescent="0.25">
      <c r="A276" s="3">
        <v>6971</v>
      </c>
      <c r="B276" s="3">
        <v>39498</v>
      </c>
      <c r="C276" s="3" t="s">
        <v>615</v>
      </c>
      <c r="D276" s="3" t="s">
        <v>616</v>
      </c>
      <c r="E276" s="4">
        <v>17191</v>
      </c>
      <c r="F276" s="3" t="s">
        <v>186</v>
      </c>
      <c r="G276" s="3" t="s">
        <v>16</v>
      </c>
      <c r="H276" s="3" t="str">
        <f>VLOOKUP(B276,'[1]Select territorios'!$C:$L,10,0)</f>
        <v>10.4625</v>
      </c>
      <c r="I276" s="3" t="str">
        <f>VLOOKUP(B276,'[1]Select territorios'!$C:$M,11,0)</f>
        <v>-73.2812</v>
      </c>
      <c r="J276" s="5" t="s">
        <v>17</v>
      </c>
      <c r="K276" s="5">
        <v>15173890</v>
      </c>
      <c r="L276" s="5">
        <v>3002039991</v>
      </c>
      <c r="M276" s="5" t="s">
        <v>18</v>
      </c>
    </row>
    <row r="277" spans="1:13" ht="15.75" x14ac:dyDescent="0.25">
      <c r="A277" s="3">
        <v>6971</v>
      </c>
      <c r="B277" s="3">
        <v>39667</v>
      </c>
      <c r="C277" s="3" t="s">
        <v>617</v>
      </c>
      <c r="D277" s="3" t="s">
        <v>618</v>
      </c>
      <c r="E277" s="4">
        <v>8556</v>
      </c>
      <c r="F277" s="3" t="s">
        <v>36</v>
      </c>
      <c r="G277" s="3" t="s">
        <v>27</v>
      </c>
      <c r="H277" s="3" t="str">
        <f>VLOOKUP(B277,'[1]Select territorios'!$C:$L,10,0)</f>
        <v>10.4727</v>
      </c>
      <c r="I277" s="3" t="str">
        <f>VLOOKUP(B277,'[1]Select territorios'!$C:$M,11,0)</f>
        <v>-73.2435</v>
      </c>
      <c r="J277" s="5" t="s">
        <v>23</v>
      </c>
      <c r="K277" s="5">
        <v>1065600058</v>
      </c>
      <c r="L277" s="5">
        <v>3123009293</v>
      </c>
      <c r="M277" s="5" t="s">
        <v>24</v>
      </c>
    </row>
    <row r="278" spans="1:13" ht="15.75" x14ac:dyDescent="0.25">
      <c r="A278" s="3">
        <v>6971</v>
      </c>
      <c r="B278" s="3">
        <v>39672</v>
      </c>
      <c r="C278" s="3" t="s">
        <v>619</v>
      </c>
      <c r="D278" s="3" t="s">
        <v>620</v>
      </c>
      <c r="E278" s="4">
        <v>6979</v>
      </c>
      <c r="F278" s="3" t="s">
        <v>57</v>
      </c>
      <c r="G278" s="3" t="s">
        <v>16</v>
      </c>
      <c r="H278" s="3" t="str">
        <f>VLOOKUP(B278,'[1]Select territorios'!$C:$L,10,0)</f>
        <v>9.200007</v>
      </c>
      <c r="I278" s="3" t="str">
        <f>VLOOKUP(B278,'[1]Select territorios'!$C:$M,11,0)</f>
        <v>-73.542093</v>
      </c>
      <c r="J278" s="5" t="s">
        <v>58</v>
      </c>
      <c r="K278" s="5">
        <v>1193146338</v>
      </c>
      <c r="L278" s="5">
        <v>3202114923</v>
      </c>
      <c r="M278" s="5" t="s">
        <v>59</v>
      </c>
    </row>
    <row r="279" spans="1:13" ht="15.75" x14ac:dyDescent="0.25">
      <c r="A279" s="3">
        <v>6971</v>
      </c>
      <c r="B279" s="3">
        <v>39670</v>
      </c>
      <c r="C279" s="3" t="s">
        <v>621</v>
      </c>
      <c r="D279" s="3" t="s">
        <v>622</v>
      </c>
      <c r="E279" s="4">
        <v>6997</v>
      </c>
      <c r="F279" s="3" t="s">
        <v>88</v>
      </c>
      <c r="G279" s="3" t="s">
        <v>27</v>
      </c>
      <c r="H279" s="3" t="str">
        <f>VLOOKUP(B279,'[1]Select territorios'!$C:$L,10,0)</f>
        <v>10.3315</v>
      </c>
      <c r="I279" s="3" t="str">
        <f>VLOOKUP(B279,'[1]Select territorios'!$C:$M,11,0)</f>
        <v>-73.1828</v>
      </c>
      <c r="J279" s="5" t="s">
        <v>17</v>
      </c>
      <c r="K279" s="5">
        <v>15173890</v>
      </c>
      <c r="L279" s="5">
        <v>3002039991</v>
      </c>
      <c r="M279" s="5" t="s">
        <v>18</v>
      </c>
    </row>
    <row r="280" spans="1:13" ht="15.75" x14ac:dyDescent="0.25">
      <c r="A280" s="3">
        <v>6971</v>
      </c>
      <c r="B280" s="3">
        <v>39790</v>
      </c>
      <c r="C280" s="3" t="s">
        <v>623</v>
      </c>
      <c r="D280" s="3" t="s">
        <v>624</v>
      </c>
      <c r="E280" s="4">
        <v>6990</v>
      </c>
      <c r="F280" s="3" t="s">
        <v>131</v>
      </c>
      <c r="G280" s="3" t="s">
        <v>27</v>
      </c>
      <c r="H280" s="3" t="str">
        <f>VLOOKUP(B280,'[1]Select territorios'!$C:$L,10,0)</f>
        <v>8.966784</v>
      </c>
      <c r="I280" s="3" t="str">
        <f>VLOOKUP(B280,'[1]Select territorios'!$C:$M,11,0)</f>
        <v>-73.620479</v>
      </c>
      <c r="J280" s="5" t="s">
        <v>71</v>
      </c>
      <c r="K280" s="5">
        <v>1065818056</v>
      </c>
      <c r="L280" s="5">
        <v>3145467066</v>
      </c>
      <c r="M280" s="5" t="s">
        <v>72</v>
      </c>
    </row>
    <row r="281" spans="1:13" ht="15.75" x14ac:dyDescent="0.25">
      <c r="A281" s="3">
        <v>6971</v>
      </c>
      <c r="B281" s="3">
        <v>39800</v>
      </c>
      <c r="C281" s="3" t="s">
        <v>625</v>
      </c>
      <c r="D281" s="3" t="s">
        <v>626</v>
      </c>
      <c r="E281" s="4">
        <v>6978</v>
      </c>
      <c r="F281" s="3" t="s">
        <v>91</v>
      </c>
      <c r="G281" s="3" t="s">
        <v>16</v>
      </c>
      <c r="H281" s="3" t="str">
        <f>VLOOKUP(B281,'[1]Select territorios'!$C:$L,10,0)</f>
        <v>10.03801</v>
      </c>
      <c r="I281" s="3" t="str">
        <f>VLOOKUP(B281,'[1]Select territorios'!$C:$M,11,0)</f>
        <v>-73.24128</v>
      </c>
      <c r="J281" s="5" t="s">
        <v>58</v>
      </c>
      <c r="K281" s="5">
        <v>1193146338</v>
      </c>
      <c r="L281" s="5">
        <v>3202114923</v>
      </c>
      <c r="M281" s="5" t="s">
        <v>59</v>
      </c>
    </row>
    <row r="282" spans="1:13" ht="15.75" x14ac:dyDescent="0.25">
      <c r="A282" s="3">
        <v>6971</v>
      </c>
      <c r="B282" s="3">
        <v>39533</v>
      </c>
      <c r="C282" s="3" t="s">
        <v>627</v>
      </c>
      <c r="D282" s="3" t="s">
        <v>628</v>
      </c>
      <c r="E282" s="4">
        <v>18936</v>
      </c>
      <c r="F282" s="3" t="s">
        <v>21</v>
      </c>
      <c r="G282" s="3" t="s">
        <v>27</v>
      </c>
      <c r="H282" s="3" t="str">
        <f>VLOOKUP(B282,'[1]Select territorios'!$C:$L,10,0)</f>
        <v>10.484795</v>
      </c>
      <c r="I282" s="3" t="str">
        <f>VLOOKUP(B282,'[1]Select territorios'!$C:$M,11,0)</f>
        <v>-73.260633</v>
      </c>
      <c r="J282" s="5" t="s">
        <v>23</v>
      </c>
      <c r="K282" s="5">
        <v>1065600058</v>
      </c>
      <c r="L282" s="5">
        <v>3123009293</v>
      </c>
      <c r="M282" s="5" t="s">
        <v>24</v>
      </c>
    </row>
    <row r="283" spans="1:13" ht="15.75" x14ac:dyDescent="0.25">
      <c r="A283" s="3">
        <v>6971</v>
      </c>
      <c r="B283" s="3">
        <v>39732</v>
      </c>
      <c r="C283" s="3" t="s">
        <v>629</v>
      </c>
      <c r="D283" s="3" t="s">
        <v>630</v>
      </c>
      <c r="E283" s="4">
        <v>6978</v>
      </c>
      <c r="F283" s="3" t="s">
        <v>91</v>
      </c>
      <c r="G283" s="3" t="s">
        <v>631</v>
      </c>
      <c r="H283" s="3" t="str">
        <f>VLOOKUP(B283,'[1]Select territorios'!$C:$L,10,0)</f>
        <v>10.03653</v>
      </c>
      <c r="I283" s="3" t="str">
        <f>VLOOKUP(B283,'[1]Select territorios'!$C:$M,11,0)</f>
        <v>-73.24412</v>
      </c>
      <c r="J283" s="5" t="s">
        <v>58</v>
      </c>
      <c r="K283" s="5">
        <v>1193146338</v>
      </c>
      <c r="L283" s="5">
        <v>3202114923</v>
      </c>
      <c r="M283" s="5" t="s">
        <v>59</v>
      </c>
    </row>
    <row r="284" spans="1:13" ht="15.75" x14ac:dyDescent="0.25">
      <c r="A284" s="3">
        <v>6971</v>
      </c>
      <c r="B284" s="3">
        <v>39826</v>
      </c>
      <c r="C284" s="3" t="s">
        <v>632</v>
      </c>
      <c r="D284" s="3" t="s">
        <v>633</v>
      </c>
      <c r="E284" s="4">
        <v>6986</v>
      </c>
      <c r="F284" s="3" t="s">
        <v>294</v>
      </c>
      <c r="G284" s="3" t="s">
        <v>16</v>
      </c>
      <c r="H284" s="3" t="str">
        <f>VLOOKUP(B284,'[1]Select territorios'!$C:$L,10,0)</f>
        <v>9.6154</v>
      </c>
      <c r="I284" s="3" t="str">
        <f>VLOOKUP(B284,'[1]Select territorios'!$C:$M,11,0)</f>
        <v>-73.6067</v>
      </c>
      <c r="J284" s="5" t="s">
        <v>48</v>
      </c>
      <c r="K284" s="5">
        <v>1064795379</v>
      </c>
      <c r="L284" s="5">
        <v>3104688587</v>
      </c>
      <c r="M284" s="5" t="s">
        <v>49</v>
      </c>
    </row>
    <row r="285" spans="1:13" ht="15.75" x14ac:dyDescent="0.25">
      <c r="A285" s="3">
        <v>6971</v>
      </c>
      <c r="B285" s="3">
        <v>39817</v>
      </c>
      <c r="C285" s="3" t="s">
        <v>634</v>
      </c>
      <c r="D285" s="3" t="s">
        <v>635</v>
      </c>
      <c r="E285" s="4">
        <v>6973</v>
      </c>
      <c r="F285" s="3" t="s">
        <v>128</v>
      </c>
      <c r="G285" s="3" t="s">
        <v>16</v>
      </c>
      <c r="H285" s="3" t="str">
        <f>VLOOKUP(B285,'[1]Select territorios'!$C:$L,10,0)</f>
        <v>9.5361</v>
      </c>
      <c r="I285" s="3" t="str">
        <f>VLOOKUP(B285,'[1]Select territorios'!$C:$M,11,0)</f>
        <v>-73.9116</v>
      </c>
      <c r="J285" s="5" t="s">
        <v>48</v>
      </c>
      <c r="K285" s="5">
        <v>1064795379</v>
      </c>
      <c r="L285" s="5">
        <v>3104688587</v>
      </c>
      <c r="M285" s="5" t="s">
        <v>49</v>
      </c>
    </row>
    <row r="286" spans="1:13" ht="15.75" x14ac:dyDescent="0.25">
      <c r="A286" s="3">
        <v>6971</v>
      </c>
      <c r="B286" s="3">
        <v>39928</v>
      </c>
      <c r="C286" s="3" t="s">
        <v>636</v>
      </c>
      <c r="D286" s="3" t="s">
        <v>637</v>
      </c>
      <c r="E286" s="4">
        <v>6979</v>
      </c>
      <c r="F286" s="3" t="s">
        <v>57</v>
      </c>
      <c r="G286" s="3" t="s">
        <v>27</v>
      </c>
      <c r="H286" s="3" t="str">
        <f>VLOOKUP(B286,'[1]Select territorios'!$C:$L,10,0)</f>
        <v>9.201905</v>
      </c>
      <c r="I286" s="3" t="str">
        <f>VLOOKUP(B286,'[1]Select territorios'!$C:$M,11,0)</f>
        <v>-73.542893</v>
      </c>
      <c r="J286" s="5" t="s">
        <v>58</v>
      </c>
      <c r="K286" s="5">
        <v>1193146338</v>
      </c>
      <c r="L286" s="5">
        <v>3202114923</v>
      </c>
      <c r="M286" s="5" t="s">
        <v>59</v>
      </c>
    </row>
    <row r="287" spans="1:13" ht="15.75" x14ac:dyDescent="0.25">
      <c r="A287" s="3">
        <v>6971</v>
      </c>
      <c r="B287" s="3">
        <v>39966</v>
      </c>
      <c r="C287" s="3" t="s">
        <v>638</v>
      </c>
      <c r="D287" s="3" t="s">
        <v>639</v>
      </c>
      <c r="E287" s="4">
        <v>6979</v>
      </c>
      <c r="F287" s="3" t="s">
        <v>57</v>
      </c>
      <c r="G287" s="3" t="s">
        <v>16</v>
      </c>
      <c r="H287" s="3" t="str">
        <f>VLOOKUP(B287,'[1]Select territorios'!$C:$L,10,0)</f>
        <v>9.200645</v>
      </c>
      <c r="I287" s="3" t="str">
        <f>VLOOKUP(B287,'[1]Select territorios'!$C:$M,11,0)</f>
        <v>-73.544125</v>
      </c>
      <c r="J287" s="5" t="s">
        <v>58</v>
      </c>
      <c r="K287" s="5">
        <v>1193146338</v>
      </c>
      <c r="L287" s="5">
        <v>3202114923</v>
      </c>
      <c r="M287" s="5" t="s">
        <v>59</v>
      </c>
    </row>
    <row r="288" spans="1:13" ht="15.75" x14ac:dyDescent="0.25">
      <c r="A288" s="3">
        <v>6971</v>
      </c>
      <c r="B288" s="3">
        <v>40063</v>
      </c>
      <c r="C288" s="3" t="s">
        <v>640</v>
      </c>
      <c r="D288" s="3" t="s">
        <v>641</v>
      </c>
      <c r="E288" s="4">
        <v>45386</v>
      </c>
      <c r="F288" s="3" t="s">
        <v>67</v>
      </c>
      <c r="G288" s="3" t="s">
        <v>27</v>
      </c>
      <c r="H288" s="3" t="str">
        <f>VLOOKUP(B288,'[1]Select territorios'!$C:$L,10,0)</f>
        <v>10.435802</v>
      </c>
      <c r="I288" s="3" t="str">
        <f>VLOOKUP(B288,'[1]Select territorios'!$C:$M,11,0)</f>
        <v>-73.264485</v>
      </c>
      <c r="J288" s="5" t="s">
        <v>40</v>
      </c>
      <c r="K288" s="5">
        <v>1003275622</v>
      </c>
      <c r="L288" s="5">
        <v>3218847746</v>
      </c>
      <c r="M288" s="5" t="s">
        <v>41</v>
      </c>
    </row>
    <row r="289" spans="1:13" ht="15.75" x14ac:dyDescent="0.25">
      <c r="A289" s="3">
        <v>6971</v>
      </c>
      <c r="B289" s="3">
        <v>40101</v>
      </c>
      <c r="C289" s="3" t="s">
        <v>642</v>
      </c>
      <c r="D289" s="3" t="s">
        <v>643</v>
      </c>
      <c r="E289" s="4">
        <v>6985</v>
      </c>
      <c r="F289" s="3" t="s">
        <v>101</v>
      </c>
      <c r="G289" s="3" t="s">
        <v>27</v>
      </c>
      <c r="H289" s="3" t="str">
        <f>VLOOKUP(B289,'[1]Select territorios'!$C:$L,10,0)</f>
        <v>9.5709</v>
      </c>
      <c r="I289" s="3" t="str">
        <f>VLOOKUP(B289,'[1]Select territorios'!$C:$M,11,0)</f>
        <v>-73.3357</v>
      </c>
      <c r="J289" s="5" t="s">
        <v>58</v>
      </c>
      <c r="K289" s="5">
        <v>1193146338</v>
      </c>
      <c r="L289" s="5">
        <v>3202114923</v>
      </c>
      <c r="M289" s="5" t="s">
        <v>59</v>
      </c>
    </row>
    <row r="290" spans="1:13" ht="15.75" x14ac:dyDescent="0.25">
      <c r="A290" s="3">
        <v>6971</v>
      </c>
      <c r="B290" s="3">
        <v>40054</v>
      </c>
      <c r="C290" s="3" t="s">
        <v>644</v>
      </c>
      <c r="D290" s="3" t="s">
        <v>645</v>
      </c>
      <c r="E290" s="4">
        <v>8552</v>
      </c>
      <c r="F290" s="3" t="s">
        <v>30</v>
      </c>
      <c r="G290" s="3" t="s">
        <v>16</v>
      </c>
      <c r="H290" s="3" t="str">
        <f>VLOOKUP(B290,'[1]Select territorios'!$C:$L,10,0)</f>
        <v>10.455466</v>
      </c>
      <c r="I290" s="3" t="str">
        <f>VLOOKUP(B290,'[1]Select territorios'!$C:$M,11,0)</f>
        <v>-73.259642</v>
      </c>
      <c r="J290" s="5" t="s">
        <v>17</v>
      </c>
      <c r="K290" s="5">
        <v>15173890</v>
      </c>
      <c r="L290" s="5">
        <v>3002039991</v>
      </c>
      <c r="M290" s="5" t="s">
        <v>18</v>
      </c>
    </row>
    <row r="291" spans="1:13" ht="15.75" x14ac:dyDescent="0.25">
      <c r="A291" s="3">
        <v>6971</v>
      </c>
      <c r="B291" s="3">
        <v>40049</v>
      </c>
      <c r="C291" s="3" t="s">
        <v>646</v>
      </c>
      <c r="D291" s="3" t="s">
        <v>647</v>
      </c>
      <c r="E291" s="4">
        <v>8552</v>
      </c>
      <c r="F291" s="3" t="s">
        <v>30</v>
      </c>
      <c r="G291" s="3" t="s">
        <v>16</v>
      </c>
      <c r="H291" s="3" t="str">
        <f>VLOOKUP(B291,'[1]Select territorios'!$C:$L,10,0)</f>
        <v>10.46002</v>
      </c>
      <c r="I291" s="3" t="str">
        <f>VLOOKUP(B291,'[1]Select territorios'!$C:$M,11,0)</f>
        <v>-73.2611</v>
      </c>
      <c r="J291" s="5" t="s">
        <v>17</v>
      </c>
      <c r="K291" s="5">
        <v>15173890</v>
      </c>
      <c r="L291" s="5">
        <v>3002039991</v>
      </c>
      <c r="M291" s="5" t="s">
        <v>18</v>
      </c>
    </row>
    <row r="292" spans="1:13" ht="15.75" x14ac:dyDescent="0.25">
      <c r="A292" s="3">
        <v>6971</v>
      </c>
      <c r="B292" s="3">
        <v>40164</v>
      </c>
      <c r="C292" s="3" t="s">
        <v>648</v>
      </c>
      <c r="D292" s="3" t="s">
        <v>649</v>
      </c>
      <c r="E292" s="4">
        <v>8556</v>
      </c>
      <c r="F292" s="3" t="s">
        <v>36</v>
      </c>
      <c r="G292" s="3" t="s">
        <v>631</v>
      </c>
      <c r="H292" s="3" t="str">
        <f>VLOOKUP(B292,'[1]Select territorios'!$C:$L,10,0)</f>
        <v>10.4622</v>
      </c>
      <c r="I292" s="3" t="str">
        <f>VLOOKUP(B292,'[1]Select territorios'!$C:$M,11,0)</f>
        <v>-73.2404</v>
      </c>
      <c r="J292" s="5" t="s">
        <v>23</v>
      </c>
      <c r="K292" s="5">
        <v>1065600058</v>
      </c>
      <c r="L292" s="5">
        <v>3123009293</v>
      </c>
      <c r="M292" s="5" t="s">
        <v>24</v>
      </c>
    </row>
    <row r="293" spans="1:13" ht="15.75" x14ac:dyDescent="0.25">
      <c r="A293" s="3">
        <v>6971</v>
      </c>
      <c r="B293" s="3">
        <v>40033</v>
      </c>
      <c r="C293" s="3" t="s">
        <v>650</v>
      </c>
      <c r="D293" s="3" t="s">
        <v>651</v>
      </c>
      <c r="E293" s="4">
        <v>8560</v>
      </c>
      <c r="F293" s="3" t="s">
        <v>161</v>
      </c>
      <c r="G293" s="3" t="s">
        <v>16</v>
      </c>
      <c r="H293" s="3" t="str">
        <f>VLOOKUP(B293,'[1]Select territorios'!$C:$L,10,0)</f>
        <v>8.3127859</v>
      </c>
      <c r="I293" s="3" t="str">
        <f>VLOOKUP(B293,'[1]Select territorios'!$C:$M,11,0)</f>
        <v>-73.6035433</v>
      </c>
      <c r="J293" s="5" t="s">
        <v>107</v>
      </c>
      <c r="K293" s="5">
        <v>1005281494</v>
      </c>
      <c r="L293" s="5">
        <v>3158541035</v>
      </c>
      <c r="M293" s="5" t="s">
        <v>108</v>
      </c>
    </row>
    <row r="294" spans="1:13" ht="15.75" x14ac:dyDescent="0.25">
      <c r="A294" s="3">
        <v>6971</v>
      </c>
      <c r="B294" s="3">
        <v>40085</v>
      </c>
      <c r="C294" s="3" t="s">
        <v>652</v>
      </c>
      <c r="D294" s="3" t="s">
        <v>653</v>
      </c>
      <c r="E294" s="4">
        <v>6972</v>
      </c>
      <c r="F294" s="3" t="s">
        <v>173</v>
      </c>
      <c r="G294" s="3" t="s">
        <v>16</v>
      </c>
      <c r="H294" s="3" t="str">
        <f>VLOOKUP(B294,'[1]Select territorios'!$C:$L,10,0)</f>
        <v>8.309793</v>
      </c>
      <c r="I294" s="3" t="str">
        <f>VLOOKUP(B294,'[1]Select territorios'!$C:$M,11,0)</f>
        <v>-73.617263</v>
      </c>
      <c r="J294" s="5" t="s">
        <v>71</v>
      </c>
      <c r="K294" s="5">
        <v>1065818056</v>
      </c>
      <c r="L294" s="5">
        <v>3145467066</v>
      </c>
      <c r="M294" s="5" t="s">
        <v>72</v>
      </c>
    </row>
    <row r="295" spans="1:13" ht="15.75" x14ac:dyDescent="0.25">
      <c r="A295" s="3">
        <v>6971</v>
      </c>
      <c r="B295" s="3">
        <v>40224</v>
      </c>
      <c r="C295" s="3" t="s">
        <v>654</v>
      </c>
      <c r="D295" s="3" t="s">
        <v>655</v>
      </c>
      <c r="E295" s="4">
        <v>44808</v>
      </c>
      <c r="F295" s="3" t="s">
        <v>245</v>
      </c>
      <c r="G295" s="3" t="s">
        <v>27</v>
      </c>
      <c r="H295" s="3" t="str">
        <f>VLOOKUP(B295,'[1]Select territorios'!$C:$L,10,0)</f>
        <v>9.332113</v>
      </c>
      <c r="I295" s="3" t="str">
        <f>VLOOKUP(B295,'[1]Select territorios'!$C:$M,11,0)</f>
        <v>-73.481688</v>
      </c>
      <c r="J295" s="5" t="s">
        <v>58</v>
      </c>
      <c r="K295" s="5">
        <v>1193146338</v>
      </c>
      <c r="L295" s="5">
        <v>3202114923</v>
      </c>
      <c r="M295" s="5" t="s">
        <v>59</v>
      </c>
    </row>
    <row r="296" spans="1:13" ht="15.75" x14ac:dyDescent="0.25">
      <c r="A296" s="3">
        <v>6971</v>
      </c>
      <c r="B296" s="3">
        <v>40190</v>
      </c>
      <c r="C296" s="3" t="s">
        <v>656</v>
      </c>
      <c r="D296" s="3" t="s">
        <v>657</v>
      </c>
      <c r="E296" s="4">
        <v>8561</v>
      </c>
      <c r="F296" s="3" t="s">
        <v>168</v>
      </c>
      <c r="G296" s="3" t="s">
        <v>27</v>
      </c>
      <c r="H296" s="3" t="str">
        <f>VLOOKUP(B296,'[1]Select territorios'!$C:$L,10,0)</f>
        <v>8.311701</v>
      </c>
      <c r="I296" s="3" t="str">
        <f>VLOOKUP(B296,'[1]Select territorios'!$C:$M,11,0)</f>
        <v>-73.621391</v>
      </c>
      <c r="J296" s="5" t="s">
        <v>107</v>
      </c>
      <c r="K296" s="5">
        <v>1005281494</v>
      </c>
      <c r="L296" s="5">
        <v>3158541035</v>
      </c>
      <c r="M296" s="5" t="s">
        <v>108</v>
      </c>
    </row>
    <row r="297" spans="1:13" ht="15.75" x14ac:dyDescent="0.25">
      <c r="A297" s="3">
        <v>6971</v>
      </c>
      <c r="B297" s="3">
        <v>40215</v>
      </c>
      <c r="C297" s="3" t="s">
        <v>658</v>
      </c>
      <c r="D297" s="3" t="s">
        <v>659</v>
      </c>
      <c r="E297" s="4">
        <v>6977</v>
      </c>
      <c r="F297" s="3" t="s">
        <v>52</v>
      </c>
      <c r="G297" s="3" t="s">
        <v>27</v>
      </c>
      <c r="H297" s="3" t="str">
        <f>VLOOKUP(B297,'[1]Select territorios'!$C:$L,10,0)</f>
        <v>9.3662</v>
      </c>
      <c r="I297" s="3" t="str">
        <f>VLOOKUP(B297,'[1]Select territorios'!$C:$M,11,0)</f>
        <v>-73.5648</v>
      </c>
      <c r="J297" s="5" t="s">
        <v>48</v>
      </c>
      <c r="K297" s="5">
        <v>1064795379</v>
      </c>
      <c r="L297" s="5">
        <v>3104688587</v>
      </c>
      <c r="M297" s="5" t="s">
        <v>49</v>
      </c>
    </row>
    <row r="298" spans="1:13" ht="15.75" x14ac:dyDescent="0.25">
      <c r="A298" s="3">
        <v>6971</v>
      </c>
      <c r="B298" s="3">
        <v>40104</v>
      </c>
      <c r="C298" s="3" t="s">
        <v>660</v>
      </c>
      <c r="D298" s="3" t="s">
        <v>661</v>
      </c>
      <c r="E298" s="4">
        <v>17176</v>
      </c>
      <c r="F298" s="3" t="s">
        <v>189</v>
      </c>
      <c r="G298" s="3" t="s">
        <v>16</v>
      </c>
      <c r="H298" s="3" t="str">
        <f>VLOOKUP(B298,'[1]Select territorios'!$C:$L,10,0)</f>
        <v>10.4603</v>
      </c>
      <c r="I298" s="3" t="str">
        <f>VLOOKUP(B298,'[1]Select territorios'!$C:$M,11,0)</f>
        <v>-73.2399</v>
      </c>
      <c r="J298" s="5" t="s">
        <v>40</v>
      </c>
      <c r="K298" s="5">
        <v>1003275622</v>
      </c>
      <c r="L298" s="5">
        <v>3218847746</v>
      </c>
      <c r="M298" s="5" t="s">
        <v>41</v>
      </c>
    </row>
    <row r="299" spans="1:13" ht="15.75" x14ac:dyDescent="0.25">
      <c r="A299" s="3">
        <v>6971</v>
      </c>
      <c r="B299" s="3">
        <v>40055</v>
      </c>
      <c r="C299" s="3" t="s">
        <v>662</v>
      </c>
      <c r="D299" s="3" t="s">
        <v>663</v>
      </c>
      <c r="E299" s="4">
        <v>8553</v>
      </c>
      <c r="F299" s="3" t="s">
        <v>15</v>
      </c>
      <c r="G299" s="3" t="s">
        <v>16</v>
      </c>
      <c r="H299" s="3" t="str">
        <f>VLOOKUP(B299,'[1]Select territorios'!$C:$L,10,0)</f>
        <v>10.4722</v>
      </c>
      <c r="I299" s="3" t="str">
        <f>VLOOKUP(B299,'[1]Select territorios'!$C:$M,11,0)</f>
        <v>-73.2925</v>
      </c>
      <c r="J299" s="5" t="s">
        <v>17</v>
      </c>
      <c r="K299" s="5">
        <v>15173890</v>
      </c>
      <c r="L299" s="5">
        <v>3002039991</v>
      </c>
      <c r="M299" s="5" t="s">
        <v>18</v>
      </c>
    </row>
    <row r="300" spans="1:13" ht="15.75" x14ac:dyDescent="0.25">
      <c r="A300" s="3">
        <v>6971</v>
      </c>
      <c r="B300" s="3">
        <v>40307</v>
      </c>
      <c r="C300" s="3" t="s">
        <v>664</v>
      </c>
      <c r="D300" s="3" t="s">
        <v>665</v>
      </c>
      <c r="E300" s="4">
        <v>6997</v>
      </c>
      <c r="F300" s="3" t="s">
        <v>88</v>
      </c>
      <c r="G300" s="3" t="s">
        <v>27</v>
      </c>
      <c r="H300" s="3" t="str">
        <f>VLOOKUP(B300,'[1]Select territorios'!$C:$L,10,0)</f>
        <v>10.333</v>
      </c>
      <c r="I300" s="3" t="str">
        <f>VLOOKUP(B300,'[1]Select territorios'!$C:$M,11,0)</f>
        <v>-73.1798</v>
      </c>
      <c r="J300" s="5" t="s">
        <v>17</v>
      </c>
      <c r="K300" s="5">
        <v>15173890</v>
      </c>
      <c r="L300" s="5">
        <v>3002039991</v>
      </c>
      <c r="M300" s="5" t="s">
        <v>18</v>
      </c>
    </row>
    <row r="301" spans="1:13" ht="15.75" x14ac:dyDescent="0.25">
      <c r="A301" s="3">
        <v>6971</v>
      </c>
      <c r="B301" s="3">
        <v>40321</v>
      </c>
      <c r="C301" s="3" t="s">
        <v>666</v>
      </c>
      <c r="D301" s="3" t="s">
        <v>667</v>
      </c>
      <c r="E301" s="4">
        <v>6979</v>
      </c>
      <c r="F301" s="3" t="s">
        <v>57</v>
      </c>
      <c r="G301" s="3" t="s">
        <v>631</v>
      </c>
      <c r="H301" s="3" t="str">
        <f>VLOOKUP(B301,'[1]Select territorios'!$C:$L,10,0)</f>
        <v>9.200957</v>
      </c>
      <c r="I301" s="3" t="str">
        <f>VLOOKUP(B301,'[1]Select territorios'!$C:$M,11,0)</f>
        <v>-73.541921</v>
      </c>
      <c r="J301" s="5" t="s">
        <v>58</v>
      </c>
      <c r="K301" s="5">
        <v>1193146338</v>
      </c>
      <c r="L301" s="5">
        <v>3202114923</v>
      </c>
      <c r="M301" s="5" t="s">
        <v>59</v>
      </c>
    </row>
    <row r="302" spans="1:13" ht="15.75" x14ac:dyDescent="0.25">
      <c r="A302" s="3">
        <v>6971</v>
      </c>
      <c r="B302" s="3">
        <v>40339</v>
      </c>
      <c r="C302" s="3" t="s">
        <v>668</v>
      </c>
      <c r="D302" s="3" t="s">
        <v>669</v>
      </c>
      <c r="E302" s="4">
        <v>8553</v>
      </c>
      <c r="F302" s="3" t="s">
        <v>15</v>
      </c>
      <c r="G302" s="3" t="s">
        <v>27</v>
      </c>
      <c r="H302" s="3" t="str">
        <f>VLOOKUP(B302,'[1]Select territorios'!$C:$L,10,0)</f>
        <v>10.481284</v>
      </c>
      <c r="I302" s="3" t="str">
        <f>VLOOKUP(B302,'[1]Select territorios'!$C:$M,11,0)</f>
        <v>-73.290825</v>
      </c>
      <c r="J302" s="5" t="s">
        <v>17</v>
      </c>
      <c r="K302" s="5">
        <v>15173890</v>
      </c>
      <c r="L302" s="5">
        <v>3002039991</v>
      </c>
      <c r="M302" s="5" t="s">
        <v>18</v>
      </c>
    </row>
    <row r="303" spans="1:13" ht="15.75" x14ac:dyDescent="0.25">
      <c r="A303" s="3">
        <v>6971</v>
      </c>
      <c r="B303" s="3">
        <v>40098</v>
      </c>
      <c r="C303" s="3" t="s">
        <v>670</v>
      </c>
      <c r="D303" s="3" t="s">
        <v>671</v>
      </c>
      <c r="E303" s="4">
        <v>6975</v>
      </c>
      <c r="F303" s="3" t="s">
        <v>78</v>
      </c>
      <c r="G303" s="3" t="s">
        <v>16</v>
      </c>
      <c r="H303" s="3" t="str">
        <f>VLOOKUP(B303,'[1]Select territorios'!$C:$L,10,0)</f>
        <v>9.904183</v>
      </c>
      <c r="I303" s="3" t="str">
        <f>VLOOKUP(B303,'[1]Select territorios'!$C:$M,11,0)</f>
        <v>-73.646245</v>
      </c>
      <c r="J303" s="5" t="s">
        <v>48</v>
      </c>
      <c r="K303" s="5">
        <v>1064795379</v>
      </c>
      <c r="L303" s="5">
        <v>3104688587</v>
      </c>
      <c r="M303" s="5" t="s">
        <v>49</v>
      </c>
    </row>
    <row r="304" spans="1:13" ht="15.75" x14ac:dyDescent="0.25">
      <c r="A304" s="3">
        <v>6971</v>
      </c>
      <c r="B304" s="3">
        <v>40095</v>
      </c>
      <c r="C304" s="3" t="s">
        <v>672</v>
      </c>
      <c r="D304" s="3" t="s">
        <v>438</v>
      </c>
      <c r="E304" s="4">
        <v>6980</v>
      </c>
      <c r="F304" s="3" t="s">
        <v>384</v>
      </c>
      <c r="G304" s="3" t="s">
        <v>16</v>
      </c>
      <c r="H304" s="3" t="str">
        <f>VLOOKUP(B304,'[1]Select territorios'!$C:$L,10,0)</f>
        <v>10.153389</v>
      </c>
      <c r="I304" s="3" t="str">
        <f>VLOOKUP(B304,'[1]Select territorios'!$C:$M,11,0)</f>
        <v>-73.961684</v>
      </c>
      <c r="J304" s="5" t="s">
        <v>48</v>
      </c>
      <c r="K304" s="5">
        <v>1064795379</v>
      </c>
      <c r="L304" s="5">
        <v>3104688587</v>
      </c>
      <c r="M304" s="5" t="s">
        <v>49</v>
      </c>
    </row>
    <row r="305" spans="1:13" ht="15.75" x14ac:dyDescent="0.25">
      <c r="A305" s="3">
        <v>6971</v>
      </c>
      <c r="B305" s="3">
        <v>40506</v>
      </c>
      <c r="C305" s="3" t="s">
        <v>673</v>
      </c>
      <c r="D305" s="3" t="s">
        <v>674</v>
      </c>
      <c r="E305" s="4">
        <v>6975</v>
      </c>
      <c r="F305" s="3" t="s">
        <v>78</v>
      </c>
      <c r="G305" s="3" t="s">
        <v>16</v>
      </c>
      <c r="H305" s="3" t="str">
        <f>VLOOKUP(B305,'[1]Select territorios'!$C:$L,10,0)</f>
        <v>10.0114562</v>
      </c>
      <c r="I305" s="3" t="str">
        <f>VLOOKUP(B305,'[1]Select territorios'!$C:$M,11,0)</f>
        <v>-73.70131838</v>
      </c>
      <c r="J305" s="5" t="s">
        <v>48</v>
      </c>
      <c r="K305" s="5">
        <v>1064795379</v>
      </c>
      <c r="L305" s="5">
        <v>3104688587</v>
      </c>
      <c r="M305" s="5" t="s">
        <v>49</v>
      </c>
    </row>
    <row r="306" spans="1:13" ht="15.75" x14ac:dyDescent="0.25">
      <c r="A306" s="3">
        <v>6971</v>
      </c>
      <c r="B306" s="3">
        <v>40256</v>
      </c>
      <c r="C306" s="3" t="s">
        <v>675</v>
      </c>
      <c r="D306" s="3" t="s">
        <v>676</v>
      </c>
      <c r="E306" s="4">
        <v>6996</v>
      </c>
      <c r="F306" s="3" t="s">
        <v>113</v>
      </c>
      <c r="G306" s="3" t="s">
        <v>631</v>
      </c>
      <c r="H306" s="3" t="str">
        <f>VLOOKUP(B306,'[1]Select territorios'!$C:$L,10,0)</f>
        <v>7.76368</v>
      </c>
      <c r="I306" s="3" t="str">
        <f>VLOOKUP(B306,'[1]Select territorios'!$C:$M,11,0)</f>
        <v>-73.39321</v>
      </c>
      <c r="J306" s="5" t="s">
        <v>107</v>
      </c>
      <c r="K306" s="5">
        <v>1005281494</v>
      </c>
      <c r="L306" s="5">
        <v>3158541035</v>
      </c>
      <c r="M306" s="5" t="s">
        <v>108</v>
      </c>
    </row>
    <row r="307" spans="1:13" ht="15.75" x14ac:dyDescent="0.25">
      <c r="A307" s="3">
        <v>6971</v>
      </c>
      <c r="B307" s="3">
        <v>40097</v>
      </c>
      <c r="C307" s="3" t="s">
        <v>677</v>
      </c>
      <c r="D307" s="3" t="s">
        <v>678</v>
      </c>
      <c r="E307" s="4">
        <v>6976</v>
      </c>
      <c r="F307" s="3" t="s">
        <v>96</v>
      </c>
      <c r="G307" s="3" t="s">
        <v>16</v>
      </c>
      <c r="H307" s="3" t="str">
        <f>VLOOKUP(B307,'[1]Select territorios'!$C:$L,10,0)</f>
        <v>9.190179</v>
      </c>
      <c r="I307" s="3" t="str">
        <f>VLOOKUP(B307,'[1]Select territorios'!$C:$M,11,0)</f>
        <v>-73.729174</v>
      </c>
      <c r="J307" s="5" t="s">
        <v>48</v>
      </c>
      <c r="K307" s="5">
        <v>1064795379</v>
      </c>
      <c r="L307" s="5">
        <v>3104688587</v>
      </c>
      <c r="M307" s="5" t="s">
        <v>49</v>
      </c>
    </row>
    <row r="308" spans="1:13" ht="15.75" x14ac:dyDescent="0.25">
      <c r="A308" s="3">
        <v>6971</v>
      </c>
      <c r="B308" s="3">
        <v>40332</v>
      </c>
      <c r="C308" s="3" t="s">
        <v>679</v>
      </c>
      <c r="D308" s="3" t="s">
        <v>680</v>
      </c>
      <c r="E308" s="4">
        <v>6973</v>
      </c>
      <c r="F308" s="3" t="s">
        <v>128</v>
      </c>
      <c r="G308" s="3" t="s">
        <v>27</v>
      </c>
      <c r="H308" s="3" t="str">
        <f>VLOOKUP(B308,'[1]Select territorios'!$C:$L,10,0)</f>
        <v>9.4955</v>
      </c>
      <c r="I308" s="3" t="str">
        <f>VLOOKUP(B308,'[1]Select territorios'!$C:$M,11,0)</f>
        <v>-73.974</v>
      </c>
      <c r="J308" s="5" t="s">
        <v>48</v>
      </c>
      <c r="K308" s="5">
        <v>1064795379</v>
      </c>
      <c r="L308" s="5">
        <v>3104688587</v>
      </c>
      <c r="M308" s="5" t="s">
        <v>49</v>
      </c>
    </row>
    <row r="309" spans="1:13" ht="15.75" x14ac:dyDescent="0.25">
      <c r="A309" s="3">
        <v>6971</v>
      </c>
      <c r="B309" s="3">
        <v>40331</v>
      </c>
      <c r="C309" s="3" t="s">
        <v>681</v>
      </c>
      <c r="D309" s="3" t="s">
        <v>682</v>
      </c>
      <c r="E309" s="4">
        <v>6976</v>
      </c>
      <c r="F309" s="3" t="s">
        <v>96</v>
      </c>
      <c r="G309" s="3" t="s">
        <v>27</v>
      </c>
      <c r="H309" s="3" t="str">
        <f>VLOOKUP(B309,'[1]Select territorios'!$C:$L,10,0)</f>
        <v>9.164983</v>
      </c>
      <c r="I309" s="3" t="str">
        <f>VLOOKUP(B309,'[1]Select territorios'!$C:$M,11,0)</f>
        <v>-73.83784</v>
      </c>
      <c r="J309" s="5" t="s">
        <v>48</v>
      </c>
      <c r="K309" s="5">
        <v>1064795379</v>
      </c>
      <c r="L309" s="5">
        <v>3104688587</v>
      </c>
      <c r="M309" s="5" t="s">
        <v>49</v>
      </c>
    </row>
    <row r="310" spans="1:13" ht="15.75" x14ac:dyDescent="0.25">
      <c r="A310" s="3">
        <v>6971</v>
      </c>
      <c r="B310" s="3">
        <v>40344</v>
      </c>
      <c r="C310" s="3" t="s">
        <v>683</v>
      </c>
      <c r="D310" s="3" t="s">
        <v>684</v>
      </c>
      <c r="E310" s="4">
        <v>6985</v>
      </c>
      <c r="F310" s="3" t="s">
        <v>101</v>
      </c>
      <c r="G310" s="3" t="s">
        <v>27</v>
      </c>
      <c r="H310" s="3" t="str">
        <f>VLOOKUP(B310,'[1]Select territorios'!$C:$L,10,0)</f>
        <v>9.4711</v>
      </c>
      <c r="I310" s="3" t="str">
        <f>VLOOKUP(B310,'[1]Select territorios'!$C:$M,11,0)</f>
        <v>-73.4486</v>
      </c>
      <c r="J310" s="5" t="s">
        <v>58</v>
      </c>
      <c r="K310" s="5">
        <v>1193146338</v>
      </c>
      <c r="L310" s="5">
        <v>3202114923</v>
      </c>
      <c r="M310" s="5" t="s">
        <v>59</v>
      </c>
    </row>
    <row r="311" spans="1:13" ht="15.75" x14ac:dyDescent="0.25">
      <c r="A311" s="3">
        <v>6971</v>
      </c>
      <c r="B311" s="3">
        <v>40219</v>
      </c>
      <c r="C311" s="3" t="s">
        <v>685</v>
      </c>
      <c r="D311" s="3" t="s">
        <v>686</v>
      </c>
      <c r="E311" s="4">
        <v>8558</v>
      </c>
      <c r="F311" s="3" t="s">
        <v>62</v>
      </c>
      <c r="G311" s="3" t="s">
        <v>27</v>
      </c>
      <c r="H311" s="3" t="str">
        <f>VLOOKUP(B311,'[1]Select territorios'!$C:$L,10,0)</f>
        <v>10.4665214</v>
      </c>
      <c r="I311" s="3" t="str">
        <f>VLOOKUP(B311,'[1]Select territorios'!$C:$M,11,0)</f>
        <v>-73.262572</v>
      </c>
      <c r="J311" s="5" t="s">
        <v>23</v>
      </c>
      <c r="K311" s="5">
        <v>1065600058</v>
      </c>
      <c r="L311" s="5">
        <v>3123009293</v>
      </c>
      <c r="M311" s="5" t="s">
        <v>24</v>
      </c>
    </row>
    <row r="312" spans="1:13" ht="15.75" x14ac:dyDescent="0.25">
      <c r="A312" s="3">
        <v>6971</v>
      </c>
      <c r="B312" s="3">
        <v>40329</v>
      </c>
      <c r="C312" s="3" t="s">
        <v>687</v>
      </c>
      <c r="D312" s="3" t="s">
        <v>688</v>
      </c>
      <c r="E312" s="4">
        <v>6986</v>
      </c>
      <c r="F312" s="3" t="s">
        <v>294</v>
      </c>
      <c r="G312" s="3" t="s">
        <v>27</v>
      </c>
      <c r="H312" s="3" t="str">
        <f>VLOOKUP(B312,'[1]Select territorios'!$C:$L,10,0)</f>
        <v>9.6162</v>
      </c>
      <c r="I312" s="3" t="str">
        <f>VLOOKUP(B312,'[1]Select territorios'!$C:$M,11,0)</f>
        <v>-73.591</v>
      </c>
      <c r="J312" s="5" t="s">
        <v>48</v>
      </c>
      <c r="K312" s="5">
        <v>1064795379</v>
      </c>
      <c r="L312" s="5">
        <v>3104688587</v>
      </c>
      <c r="M312" s="5" t="s">
        <v>49</v>
      </c>
    </row>
    <row r="313" spans="1:13" ht="15.75" x14ac:dyDescent="0.25">
      <c r="A313" s="3">
        <v>6971</v>
      </c>
      <c r="B313" s="3">
        <v>23896</v>
      </c>
      <c r="C313" s="3" t="s">
        <v>689</v>
      </c>
      <c r="D313" s="3" t="s">
        <v>690</v>
      </c>
      <c r="E313" s="4">
        <v>8558</v>
      </c>
      <c r="F313" s="3" t="s">
        <v>62</v>
      </c>
      <c r="G313" s="3" t="s">
        <v>27</v>
      </c>
      <c r="H313" s="3" t="str">
        <f>VLOOKUP(B313,'[1]Select territorios'!$C:$L,10,0)</f>
        <v>10.469807</v>
      </c>
      <c r="I313" s="3" t="str">
        <f>VLOOKUP(B313,'[1]Select territorios'!$C:$M,11,0)</f>
        <v>-73.2643005</v>
      </c>
      <c r="J313" s="5" t="s">
        <v>23</v>
      </c>
      <c r="K313" s="5">
        <v>1065600058</v>
      </c>
      <c r="L313" s="5">
        <v>3123009293</v>
      </c>
      <c r="M313" s="5" t="s">
        <v>24</v>
      </c>
    </row>
    <row r="314" spans="1:13" ht="15.75" x14ac:dyDescent="0.25">
      <c r="A314" s="3">
        <v>6971</v>
      </c>
      <c r="B314" s="3">
        <v>40381</v>
      </c>
      <c r="C314" s="3" t="s">
        <v>691</v>
      </c>
      <c r="D314" s="3" t="s">
        <v>692</v>
      </c>
      <c r="E314" s="4">
        <v>6974</v>
      </c>
      <c r="F314" s="3" t="s">
        <v>123</v>
      </c>
      <c r="G314" s="3" t="s">
        <v>631</v>
      </c>
      <c r="H314" s="3" t="str">
        <f>VLOOKUP(B314,'[1]Select territorios'!$C:$L,10,0)</f>
        <v>9.702244</v>
      </c>
      <c r="I314" s="3" t="str">
        <f>VLOOKUP(B314,'[1]Select territorios'!$C:$M,11,0)</f>
        <v>-73.280969</v>
      </c>
      <c r="J314" s="5" t="s">
        <v>58</v>
      </c>
      <c r="K314" s="5">
        <v>1193146338</v>
      </c>
      <c r="L314" s="5">
        <v>3202114923</v>
      </c>
      <c r="M314" s="5" t="s">
        <v>59</v>
      </c>
    </row>
    <row r="315" spans="1:13" ht="15.75" x14ac:dyDescent="0.25">
      <c r="A315" s="3">
        <v>6971</v>
      </c>
      <c r="B315" s="3">
        <v>40383</v>
      </c>
      <c r="C315" s="3" t="s">
        <v>693</v>
      </c>
      <c r="D315" s="3" t="s">
        <v>694</v>
      </c>
      <c r="E315" s="4">
        <v>6974</v>
      </c>
      <c r="F315" s="3" t="s">
        <v>123</v>
      </c>
      <c r="G315" s="3" t="s">
        <v>631</v>
      </c>
      <c r="H315" s="3" t="str">
        <f>VLOOKUP(B315,'[1]Select territorios'!$C:$L,10,0)</f>
        <v>9.70225</v>
      </c>
      <c r="I315" s="3" t="str">
        <f>VLOOKUP(B315,'[1]Select territorios'!$C:$M,11,0)</f>
        <v>-73.28094</v>
      </c>
      <c r="J315" s="5" t="s">
        <v>58</v>
      </c>
      <c r="K315" s="5">
        <v>1193146338</v>
      </c>
      <c r="L315" s="5">
        <v>3202114923</v>
      </c>
      <c r="M315" s="5" t="s">
        <v>59</v>
      </c>
    </row>
    <row r="316" spans="1:13" ht="15.75" x14ac:dyDescent="0.25">
      <c r="A316" s="3">
        <v>6971</v>
      </c>
      <c r="B316" s="3">
        <v>39945</v>
      </c>
      <c r="C316" s="3" t="s">
        <v>695</v>
      </c>
      <c r="D316" s="3" t="s">
        <v>696</v>
      </c>
      <c r="E316" s="4">
        <v>6985</v>
      </c>
      <c r="F316" s="3" t="s">
        <v>101</v>
      </c>
      <c r="G316" s="3" t="s">
        <v>631</v>
      </c>
      <c r="H316" s="3" t="str">
        <f>VLOOKUP(B316,'[1]Select territorios'!$C:$L,10,0)</f>
        <v>9.5875</v>
      </c>
      <c r="I316" s="3" t="str">
        <f>VLOOKUP(B316,'[1]Select territorios'!$C:$M,11,0)</f>
        <v>-73.2334</v>
      </c>
      <c r="J316" s="5" t="s">
        <v>58</v>
      </c>
      <c r="K316" s="5">
        <v>1193146338</v>
      </c>
      <c r="L316" s="5">
        <v>3202114923</v>
      </c>
      <c r="M316" s="5" t="s">
        <v>59</v>
      </c>
    </row>
    <row r="317" spans="1:13" ht="15.75" x14ac:dyDescent="0.25">
      <c r="A317" s="3">
        <v>6971</v>
      </c>
      <c r="B317" s="3">
        <v>40392</v>
      </c>
      <c r="C317" s="3" t="s">
        <v>697</v>
      </c>
      <c r="D317" s="3" t="s">
        <v>698</v>
      </c>
      <c r="E317" s="4">
        <v>6998</v>
      </c>
      <c r="F317" s="3" t="s">
        <v>106</v>
      </c>
      <c r="G317" s="3" t="s">
        <v>631</v>
      </c>
      <c r="H317" s="3" t="str">
        <f>VLOOKUP(B317,'[1]Select territorios'!$C:$L,10,0)</f>
        <v>8.00154</v>
      </c>
      <c r="I317" s="3" t="str">
        <f>VLOOKUP(B317,'[1]Select territorios'!$C:$M,11,0)</f>
        <v>-73.51239</v>
      </c>
      <c r="J317" s="5" t="s">
        <v>107</v>
      </c>
      <c r="K317" s="5">
        <v>1005281494</v>
      </c>
      <c r="L317" s="5">
        <v>3158541035</v>
      </c>
      <c r="M317" s="5" t="s">
        <v>108</v>
      </c>
    </row>
    <row r="318" spans="1:13" ht="15.75" x14ac:dyDescent="0.25">
      <c r="A318" s="3">
        <v>6971</v>
      </c>
      <c r="B318" s="3">
        <v>40374</v>
      </c>
      <c r="C318" s="3" t="s">
        <v>699</v>
      </c>
      <c r="D318" s="3" t="s">
        <v>700</v>
      </c>
      <c r="E318" s="4">
        <v>6976</v>
      </c>
      <c r="F318" s="3" t="s">
        <v>96</v>
      </c>
      <c r="G318" s="3" t="s">
        <v>16</v>
      </c>
      <c r="H318" s="3" t="str">
        <f>VLOOKUP(B318,'[1]Select territorios'!$C:$L,10,0)</f>
        <v>9.203868</v>
      </c>
      <c r="I318" s="3" t="str">
        <f>VLOOKUP(B318,'[1]Select territorios'!$C:$M,11,0)</f>
        <v>-73.878607</v>
      </c>
      <c r="J318" s="5" t="s">
        <v>48</v>
      </c>
      <c r="K318" s="5">
        <v>1064795379</v>
      </c>
      <c r="L318" s="5">
        <v>3104688587</v>
      </c>
      <c r="M318" s="5" t="s">
        <v>49</v>
      </c>
    </row>
    <row r="319" spans="1:13" ht="15.75" x14ac:dyDescent="0.25">
      <c r="A319" s="3">
        <v>6971</v>
      </c>
      <c r="B319" s="3">
        <v>40463</v>
      </c>
      <c r="C319" s="3" t="s">
        <v>701</v>
      </c>
      <c r="D319" s="3" t="s">
        <v>702</v>
      </c>
      <c r="E319" s="4">
        <v>6991</v>
      </c>
      <c r="F319" s="3" t="s">
        <v>70</v>
      </c>
      <c r="G319" s="3" t="s">
        <v>27</v>
      </c>
      <c r="H319" s="3" t="str">
        <f>VLOOKUP(B319,'[1]Select territorios'!$C:$L,10,0)</f>
        <v>8.687142</v>
      </c>
      <c r="I319" s="3" t="str">
        <f>VLOOKUP(B319,'[1]Select territorios'!$C:$M,11,0)</f>
        <v>-73.66374</v>
      </c>
      <c r="J319" s="5" t="s">
        <v>71</v>
      </c>
      <c r="K319" s="5">
        <v>1065818056</v>
      </c>
      <c r="L319" s="5">
        <v>3145467066</v>
      </c>
      <c r="M319" s="5" t="s">
        <v>72</v>
      </c>
    </row>
    <row r="320" spans="1:13" ht="15.75" x14ac:dyDescent="0.25">
      <c r="A320" s="3">
        <v>6971</v>
      </c>
      <c r="B320" s="3">
        <v>40490</v>
      </c>
      <c r="C320" s="3" t="s">
        <v>703</v>
      </c>
      <c r="D320" s="3" t="s">
        <v>704</v>
      </c>
      <c r="E320" s="4">
        <v>8560</v>
      </c>
      <c r="F320" s="3" t="s">
        <v>161</v>
      </c>
      <c r="G320" s="3" t="s">
        <v>16</v>
      </c>
      <c r="H320" s="3" t="str">
        <f>VLOOKUP(B320,'[1]Select territorios'!$C:$L,10,0)</f>
        <v>8.3126785</v>
      </c>
      <c r="I320" s="3" t="str">
        <f>VLOOKUP(B320,'[1]Select territorios'!$C:$M,11,0)</f>
        <v>-73.609291</v>
      </c>
      <c r="J320" s="5" t="s">
        <v>107</v>
      </c>
      <c r="K320" s="5">
        <v>1005281494</v>
      </c>
      <c r="L320" s="5">
        <v>3158541035</v>
      </c>
      <c r="M320" s="5" t="s">
        <v>108</v>
      </c>
    </row>
    <row r="321" spans="1:13" ht="15.75" x14ac:dyDescent="0.25">
      <c r="A321" s="3">
        <v>6971</v>
      </c>
      <c r="B321" s="3">
        <v>40373</v>
      </c>
      <c r="C321" s="3" t="s">
        <v>705</v>
      </c>
      <c r="D321" s="3" t="s">
        <v>706</v>
      </c>
      <c r="E321" s="4">
        <v>9206</v>
      </c>
      <c r="F321" s="3" t="s">
        <v>33</v>
      </c>
      <c r="G321" s="3" t="s">
        <v>16</v>
      </c>
      <c r="H321" s="3" t="str">
        <f>VLOOKUP(B321,'[1]Select territorios'!$C:$L,10,0)</f>
        <v>10.4475966</v>
      </c>
      <c r="I321" s="3" t="str">
        <f>VLOOKUP(B321,'[1]Select territorios'!$C:$M,11,0)</f>
        <v>-73.27393027</v>
      </c>
      <c r="J321" s="5" t="s">
        <v>17</v>
      </c>
      <c r="K321" s="5">
        <v>15173890</v>
      </c>
      <c r="L321" s="5">
        <v>3002039991</v>
      </c>
      <c r="M321" s="5" t="s">
        <v>18</v>
      </c>
    </row>
    <row r="322" spans="1:13" ht="15.75" x14ac:dyDescent="0.25">
      <c r="A322" s="3">
        <v>6971</v>
      </c>
      <c r="B322" s="3">
        <v>40511</v>
      </c>
      <c r="C322" s="3" t="s">
        <v>707</v>
      </c>
      <c r="D322" s="3" t="s">
        <v>708</v>
      </c>
      <c r="E322" s="4">
        <v>6979</v>
      </c>
      <c r="F322" s="3" t="s">
        <v>57</v>
      </c>
      <c r="G322" s="3" t="s">
        <v>27</v>
      </c>
      <c r="H322" s="3" t="str">
        <f>VLOOKUP(B322,'[1]Select territorios'!$C:$L,10,0)</f>
        <v>9.20018</v>
      </c>
      <c r="I322" s="3" t="str">
        <f>VLOOKUP(B322,'[1]Select territorios'!$C:$M,11,0)</f>
        <v>-73.5394</v>
      </c>
      <c r="J322" s="5" t="s">
        <v>58</v>
      </c>
      <c r="K322" s="5">
        <v>1193146338</v>
      </c>
      <c r="L322" s="5">
        <v>3202114923</v>
      </c>
      <c r="M322" s="5" t="s">
        <v>59</v>
      </c>
    </row>
    <row r="323" spans="1:13" ht="15.75" x14ac:dyDescent="0.25">
      <c r="A323" s="3">
        <v>6971</v>
      </c>
      <c r="B323" s="3">
        <v>40472</v>
      </c>
      <c r="C323" s="3" t="s">
        <v>709</v>
      </c>
      <c r="D323" s="3" t="s">
        <v>710</v>
      </c>
      <c r="E323" s="4">
        <v>8561</v>
      </c>
      <c r="F323" s="3" t="s">
        <v>168</v>
      </c>
      <c r="G323" s="3" t="s">
        <v>27</v>
      </c>
      <c r="H323" s="3" t="str">
        <f>VLOOKUP(B323,'[1]Select territorios'!$C:$L,10,0)</f>
        <v>8.300704</v>
      </c>
      <c r="I323" s="3" t="str">
        <f>VLOOKUP(B323,'[1]Select territorios'!$C:$M,11,0)</f>
        <v>-73.614471</v>
      </c>
      <c r="J323" s="5" t="s">
        <v>107</v>
      </c>
      <c r="K323" s="5">
        <v>1005281494</v>
      </c>
      <c r="L323" s="5">
        <v>3158541035</v>
      </c>
      <c r="M323" s="5" t="s">
        <v>108</v>
      </c>
    </row>
    <row r="324" spans="1:13" ht="15.75" x14ac:dyDescent="0.25">
      <c r="A324" s="3">
        <v>6971</v>
      </c>
      <c r="B324" s="3">
        <v>40512</v>
      </c>
      <c r="C324" s="3" t="s">
        <v>711</v>
      </c>
      <c r="D324" s="3" t="s">
        <v>712</v>
      </c>
      <c r="E324" s="4">
        <v>6974</v>
      </c>
      <c r="F324" s="3" t="s">
        <v>123</v>
      </c>
      <c r="G324" s="3" t="s">
        <v>27</v>
      </c>
      <c r="H324" s="3" t="str">
        <f>VLOOKUP(B324,'[1]Select territorios'!$C:$L,10,0)</f>
        <v>9.70035</v>
      </c>
      <c r="I324" s="3" t="str">
        <f>VLOOKUP(B324,'[1]Select territorios'!$C:$M,11,0)</f>
        <v>-73.2741</v>
      </c>
      <c r="J324" s="5" t="s">
        <v>58</v>
      </c>
      <c r="K324" s="5">
        <v>1193146338</v>
      </c>
      <c r="L324" s="5">
        <v>3202114923</v>
      </c>
      <c r="M324" s="5" t="s">
        <v>59</v>
      </c>
    </row>
    <row r="325" spans="1:13" ht="15.75" x14ac:dyDescent="0.25">
      <c r="A325" s="3">
        <v>6971</v>
      </c>
      <c r="B325" s="3">
        <v>40518</v>
      </c>
      <c r="C325" s="3" t="s">
        <v>713</v>
      </c>
      <c r="D325" s="3" t="s">
        <v>714</v>
      </c>
      <c r="E325" s="4">
        <v>6976</v>
      </c>
      <c r="F325" s="3" t="s">
        <v>96</v>
      </c>
      <c r="G325" s="3" t="s">
        <v>27</v>
      </c>
      <c r="H325" s="3" t="str">
        <f>VLOOKUP(B325,'[1]Select territorios'!$C:$L,10,0)</f>
        <v>9.253894</v>
      </c>
      <c r="I325" s="3" t="str">
        <f>VLOOKUP(B325,'[1]Select territorios'!$C:$M,11,0)</f>
        <v>-73.813439</v>
      </c>
      <c r="J325" s="5" t="s">
        <v>48</v>
      </c>
      <c r="K325" s="5">
        <v>1064795379</v>
      </c>
      <c r="L325" s="5">
        <v>3104688587</v>
      </c>
      <c r="M325" s="5" t="s">
        <v>49</v>
      </c>
    </row>
    <row r="326" spans="1:13" ht="15.75" x14ac:dyDescent="0.25">
      <c r="A326" s="3">
        <v>6971</v>
      </c>
      <c r="B326" s="3">
        <v>40541</v>
      </c>
      <c r="C326" s="3" t="s">
        <v>715</v>
      </c>
      <c r="D326" s="3" t="s">
        <v>716</v>
      </c>
      <c r="E326" s="4">
        <v>6999</v>
      </c>
      <c r="F326" s="3" t="s">
        <v>260</v>
      </c>
      <c r="G326" s="3" t="s">
        <v>631</v>
      </c>
      <c r="H326" s="3" t="str">
        <f>VLOOKUP(B326,'[1]Select territorios'!$C:$L,10,0)</f>
        <v>8.8576</v>
      </c>
      <c r="I326" s="3" t="str">
        <f>VLOOKUP(B326,'[1]Select territorios'!$C:$M,11,0)</f>
        <v>-73.8156</v>
      </c>
      <c r="J326" s="5" t="s">
        <v>71</v>
      </c>
      <c r="K326" s="5">
        <v>1065818056</v>
      </c>
      <c r="L326" s="5">
        <v>3145467066</v>
      </c>
      <c r="M326" s="5" t="s">
        <v>72</v>
      </c>
    </row>
    <row r="327" spans="1:13" ht="15.75" x14ac:dyDescent="0.25">
      <c r="A327" s="3">
        <v>6971</v>
      </c>
      <c r="B327" s="3">
        <v>40510</v>
      </c>
      <c r="C327" s="3" t="s">
        <v>717</v>
      </c>
      <c r="D327" s="3" t="s">
        <v>718</v>
      </c>
      <c r="E327" s="4">
        <v>6979</v>
      </c>
      <c r="F327" s="3" t="s">
        <v>57</v>
      </c>
      <c r="G327" s="3" t="s">
        <v>27</v>
      </c>
      <c r="H327" s="3" t="str">
        <f>VLOOKUP(B327,'[1]Select territorios'!$C:$L,10,0)</f>
        <v>9.205821</v>
      </c>
      <c r="I327" s="3" t="str">
        <f>VLOOKUP(B327,'[1]Select territorios'!$C:$M,11,0)</f>
        <v>-73.541735</v>
      </c>
      <c r="J327" s="5" t="s">
        <v>58</v>
      </c>
      <c r="K327" s="5">
        <v>1193146338</v>
      </c>
      <c r="L327" s="5">
        <v>3202114923</v>
      </c>
      <c r="M327" s="5" t="s">
        <v>59</v>
      </c>
    </row>
    <row r="328" spans="1:13" ht="15.75" x14ac:dyDescent="0.25">
      <c r="A328" s="3">
        <v>6971</v>
      </c>
      <c r="B328" s="3">
        <v>40355</v>
      </c>
      <c r="C328" s="3" t="s">
        <v>719</v>
      </c>
      <c r="D328" s="3" t="s">
        <v>720</v>
      </c>
      <c r="E328" s="4">
        <v>6997</v>
      </c>
      <c r="F328" s="3" t="s">
        <v>88</v>
      </c>
      <c r="G328" s="3" t="s">
        <v>16</v>
      </c>
      <c r="H328" s="3" t="str">
        <f>VLOOKUP(B328,'[1]Select territorios'!$C:$L,10,0)</f>
        <v>10.333915</v>
      </c>
      <c r="I328" s="3" t="str">
        <f>VLOOKUP(B328,'[1]Select territorios'!$C:$M,11,0)</f>
        <v>-73.179432</v>
      </c>
      <c r="J328" s="5" t="s">
        <v>17</v>
      </c>
      <c r="K328" s="5">
        <v>15173890</v>
      </c>
      <c r="L328" s="5">
        <v>3002039991</v>
      </c>
      <c r="M328" s="5" t="s">
        <v>18</v>
      </c>
    </row>
    <row r="329" spans="1:13" ht="15.75" x14ac:dyDescent="0.25">
      <c r="A329" s="3">
        <v>6971</v>
      </c>
      <c r="B329" s="3">
        <v>40354</v>
      </c>
      <c r="C329" s="3" t="s">
        <v>721</v>
      </c>
      <c r="D329" s="3" t="s">
        <v>722</v>
      </c>
      <c r="E329" s="4">
        <v>6978</v>
      </c>
      <c r="F329" s="3" t="s">
        <v>91</v>
      </c>
      <c r="G329" s="3" t="s">
        <v>16</v>
      </c>
      <c r="H329" s="3" t="str">
        <f>VLOOKUP(B329,'[1]Select territorios'!$C:$L,10,0)</f>
        <v>10.03642</v>
      </c>
      <c r="I329" s="3" t="str">
        <f>VLOOKUP(B329,'[1]Select territorios'!$C:$M,11,0)</f>
        <v>-73.2418</v>
      </c>
      <c r="J329" s="5" t="s">
        <v>58</v>
      </c>
      <c r="K329" s="5">
        <v>1193146338</v>
      </c>
      <c r="L329" s="5">
        <v>3202114923</v>
      </c>
      <c r="M329" s="5" t="s">
        <v>59</v>
      </c>
    </row>
    <row r="330" spans="1:13" ht="15.75" x14ac:dyDescent="0.25">
      <c r="A330" s="3">
        <v>6971</v>
      </c>
      <c r="B330" s="3">
        <v>40491</v>
      </c>
      <c r="C330" s="3" t="s">
        <v>723</v>
      </c>
      <c r="D330" s="3" t="s">
        <v>724</v>
      </c>
      <c r="E330" s="4">
        <v>17191</v>
      </c>
      <c r="F330" s="3" t="s">
        <v>186</v>
      </c>
      <c r="G330" s="3" t="s">
        <v>16</v>
      </c>
      <c r="H330" s="3" t="str">
        <f>VLOOKUP(B330,'[1]Select territorios'!$C:$L,10,0)</f>
        <v>10.4532</v>
      </c>
      <c r="I330" s="3" t="str">
        <f>VLOOKUP(B330,'[1]Select territorios'!$C:$M,11,0)</f>
        <v>-73.2817</v>
      </c>
      <c r="J330" s="5" t="s">
        <v>17</v>
      </c>
      <c r="K330" s="5">
        <v>15173890</v>
      </c>
      <c r="L330" s="5">
        <v>3002039991</v>
      </c>
      <c r="M330" s="5" t="s">
        <v>18</v>
      </c>
    </row>
    <row r="331" spans="1:13" ht="15.75" x14ac:dyDescent="0.25">
      <c r="A331" s="3">
        <v>6971</v>
      </c>
      <c r="B331" s="3">
        <v>40106</v>
      </c>
      <c r="C331" s="3" t="s">
        <v>725</v>
      </c>
      <c r="D331" s="3" t="s">
        <v>726</v>
      </c>
      <c r="E331" s="4">
        <v>6999</v>
      </c>
      <c r="F331" s="3" t="s">
        <v>260</v>
      </c>
      <c r="G331" s="3" t="s">
        <v>16</v>
      </c>
      <c r="H331" s="3" t="str">
        <f>VLOOKUP(B331,'[1]Select territorios'!$C:$L,10,0)</f>
        <v>8.86112028</v>
      </c>
      <c r="I331" s="3" t="str">
        <f>VLOOKUP(B331,'[1]Select territorios'!$C:$M,11,0)</f>
        <v>-73.81290108</v>
      </c>
      <c r="J331" s="5" t="s">
        <v>71</v>
      </c>
      <c r="K331" s="5">
        <v>1065818056</v>
      </c>
      <c r="L331" s="5">
        <v>3145467066</v>
      </c>
      <c r="M331" s="5" t="s">
        <v>72</v>
      </c>
    </row>
    <row r="332" spans="1:13" ht="15.75" x14ac:dyDescent="0.25">
      <c r="A332" s="3">
        <v>6971</v>
      </c>
      <c r="B332" s="3">
        <v>40614</v>
      </c>
      <c r="C332" s="3" t="s">
        <v>727</v>
      </c>
      <c r="D332" s="3" t="s">
        <v>728</v>
      </c>
      <c r="E332" s="4">
        <v>6997</v>
      </c>
      <c r="F332" s="3" t="s">
        <v>88</v>
      </c>
      <c r="G332" s="3" t="s">
        <v>27</v>
      </c>
      <c r="H332" s="3" t="str">
        <f>VLOOKUP(B332,'[1]Select territorios'!$C:$L,10,0)</f>
        <v>10.24355</v>
      </c>
      <c r="I332" s="3" t="str">
        <f>VLOOKUP(B332,'[1]Select territorios'!$C:$M,11,0)</f>
        <v>-73.14198</v>
      </c>
      <c r="J332" s="5" t="s">
        <v>17</v>
      </c>
      <c r="K332" s="5">
        <v>15173890</v>
      </c>
      <c r="L332" s="5">
        <v>3002039991</v>
      </c>
      <c r="M332" s="5" t="s">
        <v>18</v>
      </c>
    </row>
    <row r="333" spans="1:13" ht="15.75" x14ac:dyDescent="0.25">
      <c r="A333" s="3">
        <v>6971</v>
      </c>
      <c r="B333" s="3">
        <v>40630</v>
      </c>
      <c r="C333" s="3" t="s">
        <v>729</v>
      </c>
      <c r="D333" s="3" t="s">
        <v>730</v>
      </c>
      <c r="E333" s="4">
        <v>8553</v>
      </c>
      <c r="F333" s="3" t="s">
        <v>15</v>
      </c>
      <c r="G333" s="3" t="s">
        <v>27</v>
      </c>
      <c r="H333" s="3" t="str">
        <f>VLOOKUP(B333,'[1]Select territorios'!$C:$L,10,0)</f>
        <v>10.479321</v>
      </c>
      <c r="I333" s="3" t="str">
        <f>VLOOKUP(B333,'[1]Select territorios'!$C:$M,11,0)</f>
        <v>-73.2846</v>
      </c>
      <c r="J333" s="5" t="s">
        <v>17</v>
      </c>
      <c r="K333" s="5">
        <v>15173890</v>
      </c>
      <c r="L333" s="5">
        <v>3002039991</v>
      </c>
      <c r="M333" s="5" t="s">
        <v>18</v>
      </c>
    </row>
    <row r="334" spans="1:13" ht="15.75" x14ac:dyDescent="0.25">
      <c r="A334" s="3">
        <v>6971</v>
      </c>
      <c r="B334" s="3">
        <v>40635</v>
      </c>
      <c r="C334" s="3" t="s">
        <v>731</v>
      </c>
      <c r="D334" s="3" t="s">
        <v>732</v>
      </c>
      <c r="E334" s="4">
        <v>6981</v>
      </c>
      <c r="F334" s="3" t="s">
        <v>47</v>
      </c>
      <c r="G334" s="3" t="s">
        <v>16</v>
      </c>
      <c r="H334" s="3" t="str">
        <f>VLOOKUP(B334,'[1]Select territorios'!$C:$L,10,0)</f>
        <v>9.6675</v>
      </c>
      <c r="I334" s="3" t="str">
        <f>VLOOKUP(B334,'[1]Select territorios'!$C:$M,11,0)</f>
        <v>-73.7465</v>
      </c>
      <c r="J334" s="5" t="s">
        <v>48</v>
      </c>
      <c r="K334" s="5">
        <v>1064795379</v>
      </c>
      <c r="L334" s="5">
        <v>3104688587</v>
      </c>
      <c r="M334" s="5" t="s">
        <v>49</v>
      </c>
    </row>
    <row r="335" spans="1:13" ht="15.75" x14ac:dyDescent="0.25">
      <c r="A335" s="3">
        <v>6971</v>
      </c>
      <c r="B335" s="3">
        <v>40544</v>
      </c>
      <c r="C335" s="3" t="s">
        <v>733</v>
      </c>
      <c r="D335" s="3" t="s">
        <v>734</v>
      </c>
      <c r="E335" s="4">
        <v>6980</v>
      </c>
      <c r="F335" s="3" t="s">
        <v>384</v>
      </c>
      <c r="G335" s="3" t="s">
        <v>16</v>
      </c>
      <c r="H335" s="3" t="str">
        <f>VLOOKUP(B335,'[1]Select territorios'!$C:$L,10,0)</f>
        <v>10.150308</v>
      </c>
      <c r="I335" s="3" t="str">
        <f>VLOOKUP(B335,'[1]Select territorios'!$C:$M,11,0)</f>
        <v>-73.9535</v>
      </c>
      <c r="J335" s="5" t="s">
        <v>48</v>
      </c>
      <c r="K335" s="5">
        <v>1064795379</v>
      </c>
      <c r="L335" s="5">
        <v>3104688587</v>
      </c>
      <c r="M335" s="5" t="s">
        <v>49</v>
      </c>
    </row>
    <row r="336" spans="1:13" ht="15.75" x14ac:dyDescent="0.25">
      <c r="A336" s="3">
        <v>6971</v>
      </c>
      <c r="B336" s="3">
        <v>40612</v>
      </c>
      <c r="C336" s="3" t="s">
        <v>735</v>
      </c>
      <c r="D336" s="3" t="s">
        <v>736</v>
      </c>
      <c r="E336" s="4">
        <v>6976</v>
      </c>
      <c r="F336" s="3" t="s">
        <v>96</v>
      </c>
      <c r="G336" s="3" t="s">
        <v>27</v>
      </c>
      <c r="H336" s="3" t="str">
        <f>VLOOKUP(B336,'[1]Select territorios'!$C:$L,10,0)</f>
        <v>9.213494</v>
      </c>
      <c r="I336" s="3" t="str">
        <f>VLOOKUP(B336,'[1]Select territorios'!$C:$M,11,0)</f>
        <v>-73.903454</v>
      </c>
      <c r="J336" s="5" t="s">
        <v>48</v>
      </c>
      <c r="K336" s="5">
        <v>1064795379</v>
      </c>
      <c r="L336" s="5">
        <v>3104688587</v>
      </c>
      <c r="M336" s="5" t="s">
        <v>49</v>
      </c>
    </row>
    <row r="337" spans="1:13" ht="15.75" x14ac:dyDescent="0.25">
      <c r="A337" s="3">
        <v>6971</v>
      </c>
      <c r="B337" s="3">
        <v>40640</v>
      </c>
      <c r="C337" s="3" t="s">
        <v>737</v>
      </c>
      <c r="D337" s="3" t="s">
        <v>738</v>
      </c>
      <c r="E337" s="4">
        <v>6988</v>
      </c>
      <c r="F337" s="3" t="s">
        <v>227</v>
      </c>
      <c r="G337" s="3" t="s">
        <v>27</v>
      </c>
      <c r="H337" s="3" t="str">
        <f>VLOOKUP(B337,'[1]Select territorios'!$C:$L,10,0)</f>
        <v>10.38124</v>
      </c>
      <c r="I337" s="3" t="str">
        <f>VLOOKUP(B337,'[1]Select territorios'!$C:$M,11,0)</f>
        <v>-73.176713</v>
      </c>
      <c r="J337" s="5" t="s">
        <v>23</v>
      </c>
      <c r="K337" s="5">
        <v>1065600058</v>
      </c>
      <c r="L337" s="5">
        <v>3123009293</v>
      </c>
      <c r="M337" s="5" t="s">
        <v>24</v>
      </c>
    </row>
    <row r="338" spans="1:13" ht="15.75" x14ac:dyDescent="0.25">
      <c r="A338" s="3">
        <v>6971</v>
      </c>
      <c r="B338" s="3">
        <v>40375</v>
      </c>
      <c r="C338" s="3" t="s">
        <v>739</v>
      </c>
      <c r="D338" s="3" t="s">
        <v>740</v>
      </c>
      <c r="E338" s="4">
        <v>6989</v>
      </c>
      <c r="F338" s="3" t="s">
        <v>39</v>
      </c>
      <c r="G338" s="3" t="s">
        <v>16</v>
      </c>
      <c r="H338" s="3" t="str">
        <f>VLOOKUP(B338,'[1]Select territorios'!$C:$L,10,0)</f>
        <v>10.39183499</v>
      </c>
      <c r="I338" s="3" t="str">
        <f>VLOOKUP(B338,'[1]Select territorios'!$C:$M,11,0)</f>
        <v>-73.02827166</v>
      </c>
      <c r="J338" s="5" t="s">
        <v>40</v>
      </c>
      <c r="K338" s="5">
        <v>1003275622</v>
      </c>
      <c r="L338" s="5">
        <v>3218847746</v>
      </c>
      <c r="M338" s="5" t="s">
        <v>41</v>
      </c>
    </row>
    <row r="339" spans="1:13" ht="15.75" x14ac:dyDescent="0.25">
      <c r="A339" s="3">
        <v>6971</v>
      </c>
      <c r="B339" s="3">
        <v>40686</v>
      </c>
      <c r="C339" s="3" t="s">
        <v>741</v>
      </c>
      <c r="D339" s="3" t="s">
        <v>742</v>
      </c>
      <c r="E339" s="4">
        <v>17191</v>
      </c>
      <c r="F339" s="3" t="s">
        <v>186</v>
      </c>
      <c r="G339" s="3" t="s">
        <v>27</v>
      </c>
      <c r="H339" s="3" t="str">
        <f>VLOOKUP(B339,'[1]Select territorios'!$C:$L,10,0)</f>
        <v>10.470767</v>
      </c>
      <c r="I339" s="3" t="str">
        <f>VLOOKUP(B339,'[1]Select territorios'!$C:$M,11,0)</f>
        <v>-73.280397</v>
      </c>
      <c r="J339" s="5" t="s">
        <v>17</v>
      </c>
      <c r="K339" s="5">
        <v>15173890</v>
      </c>
      <c r="L339" s="5">
        <v>3002039991</v>
      </c>
      <c r="M339" s="5" t="s">
        <v>18</v>
      </c>
    </row>
    <row r="340" spans="1:13" ht="15.75" x14ac:dyDescent="0.25">
      <c r="A340" s="3">
        <v>6971</v>
      </c>
      <c r="B340" s="3">
        <v>40675</v>
      </c>
      <c r="C340" s="3" t="s">
        <v>743</v>
      </c>
      <c r="D340" s="3" t="s">
        <v>744</v>
      </c>
      <c r="E340" s="4">
        <v>8552</v>
      </c>
      <c r="F340" s="3" t="s">
        <v>30</v>
      </c>
      <c r="G340" s="3" t="s">
        <v>27</v>
      </c>
      <c r="H340" s="3" t="str">
        <f>VLOOKUP(B340,'[1]Select territorios'!$C:$L,10,0)</f>
        <v>10.457845</v>
      </c>
      <c r="I340" s="3" t="str">
        <f>VLOOKUP(B340,'[1]Select territorios'!$C:$M,11,0)</f>
        <v>-73.260876</v>
      </c>
      <c r="J340" s="5" t="s">
        <v>17</v>
      </c>
      <c r="K340" s="5">
        <v>15173890</v>
      </c>
      <c r="L340" s="5">
        <v>3002039991</v>
      </c>
      <c r="M340" s="5" t="s">
        <v>18</v>
      </c>
    </row>
    <row r="341" spans="1:13" ht="15.75" x14ac:dyDescent="0.25">
      <c r="A341" s="3">
        <v>6971</v>
      </c>
      <c r="B341" s="3">
        <v>40651</v>
      </c>
      <c r="C341" s="3" t="s">
        <v>745</v>
      </c>
      <c r="D341" s="3" t="s">
        <v>746</v>
      </c>
      <c r="E341" s="4">
        <v>8558</v>
      </c>
      <c r="F341" s="3" t="s">
        <v>62</v>
      </c>
      <c r="G341" s="3" t="s">
        <v>27</v>
      </c>
      <c r="H341" s="3" t="str">
        <f>VLOOKUP(B341,'[1]Select territorios'!$C:$L,10,0)</f>
        <v>10.477425</v>
      </c>
      <c r="I341" s="3" t="str">
        <f>VLOOKUP(B341,'[1]Select territorios'!$C:$M,11,0)</f>
        <v>-73.27469987</v>
      </c>
      <c r="J341" s="5" t="s">
        <v>23</v>
      </c>
      <c r="K341" s="5">
        <v>1065600058</v>
      </c>
      <c r="L341" s="5">
        <v>3123009293</v>
      </c>
      <c r="M341" s="5" t="s">
        <v>24</v>
      </c>
    </row>
    <row r="342" spans="1:13" ht="15.75" x14ac:dyDescent="0.25">
      <c r="A342" s="3">
        <v>6971</v>
      </c>
      <c r="B342" s="3">
        <v>40704</v>
      </c>
      <c r="C342" s="3" t="s">
        <v>747</v>
      </c>
      <c r="D342" s="3" t="s">
        <v>748</v>
      </c>
      <c r="E342" s="4">
        <v>42463</v>
      </c>
      <c r="F342" s="3" t="s">
        <v>377</v>
      </c>
      <c r="G342" s="3" t="s">
        <v>16</v>
      </c>
      <c r="H342" s="3" t="str">
        <f>VLOOKUP(B342,'[1]Select territorios'!$C:$L,10,0)</f>
        <v>10.033403</v>
      </c>
      <c r="I342" s="3" t="str">
        <f>VLOOKUP(B342,'[1]Select territorios'!$C:$M,11,0)</f>
        <v>-73.23593</v>
      </c>
      <c r="J342" s="5" t="s">
        <v>58</v>
      </c>
      <c r="K342" s="5">
        <v>1193146338</v>
      </c>
      <c r="L342" s="5">
        <v>3202114923</v>
      </c>
      <c r="M342" s="5" t="s">
        <v>59</v>
      </c>
    </row>
    <row r="343" spans="1:13" ht="15.75" x14ac:dyDescent="0.25">
      <c r="A343" s="3">
        <v>6971</v>
      </c>
      <c r="B343" s="3">
        <v>40615</v>
      </c>
      <c r="C343" s="3" t="s">
        <v>749</v>
      </c>
      <c r="D343" s="3" t="s">
        <v>750</v>
      </c>
      <c r="E343" s="4">
        <v>17191</v>
      </c>
      <c r="F343" s="3" t="s">
        <v>186</v>
      </c>
      <c r="G343" s="3" t="s">
        <v>27</v>
      </c>
      <c r="H343" s="3" t="str">
        <f>VLOOKUP(B343,'[1]Select territorios'!$C:$L,10,0)</f>
        <v>10.455422</v>
      </c>
      <c r="I343" s="3" t="str">
        <f>VLOOKUP(B343,'[1]Select territorios'!$C:$M,11,0)</f>
        <v>-73.270318</v>
      </c>
      <c r="J343" s="5" t="s">
        <v>17</v>
      </c>
      <c r="K343" s="5">
        <v>15173890</v>
      </c>
      <c r="L343" s="5">
        <v>3002039991</v>
      </c>
      <c r="M343" s="5" t="s">
        <v>18</v>
      </c>
    </row>
    <row r="344" spans="1:13" ht="15.75" x14ac:dyDescent="0.25">
      <c r="A344" s="3">
        <v>6971</v>
      </c>
      <c r="B344" s="3">
        <v>40755</v>
      </c>
      <c r="C344" s="3" t="s">
        <v>751</v>
      </c>
      <c r="D344" s="3" t="s">
        <v>752</v>
      </c>
      <c r="E344" s="4">
        <v>6997</v>
      </c>
      <c r="F344" s="3" t="s">
        <v>88</v>
      </c>
      <c r="G344" s="3" t="s">
        <v>16</v>
      </c>
      <c r="H344" s="3" t="str">
        <f>VLOOKUP(B344,'[1]Select territorios'!$C:$L,10,0)</f>
        <v>10.24356</v>
      </c>
      <c r="I344" s="3" t="str">
        <f>VLOOKUP(B344,'[1]Select territorios'!$C:$M,11,0)</f>
        <v>-73.14031</v>
      </c>
      <c r="J344" s="5" t="s">
        <v>17</v>
      </c>
      <c r="K344" s="5">
        <v>15173890</v>
      </c>
      <c r="L344" s="5">
        <v>3002039991</v>
      </c>
      <c r="M344" s="5" t="s">
        <v>18</v>
      </c>
    </row>
    <row r="345" spans="1:13" ht="15.75" x14ac:dyDescent="0.25">
      <c r="A345" s="3">
        <v>6971</v>
      </c>
      <c r="B345" s="3">
        <v>40621</v>
      </c>
      <c r="C345" s="3" t="s">
        <v>753</v>
      </c>
      <c r="D345" s="3" t="s">
        <v>754</v>
      </c>
      <c r="E345" s="4">
        <v>7001</v>
      </c>
      <c r="F345" s="3" t="s">
        <v>55</v>
      </c>
      <c r="G345" s="3" t="s">
        <v>16</v>
      </c>
      <c r="H345" s="3" t="str">
        <f>VLOOKUP(B345,'[1]Select territorios'!$C:$L,10,0)</f>
        <v>10.4661</v>
      </c>
      <c r="I345" s="3" t="str">
        <f>VLOOKUP(B345,'[1]Select territorios'!$C:$M,11,0)</f>
        <v>-73.247</v>
      </c>
      <c r="J345" s="5" t="s">
        <v>23</v>
      </c>
      <c r="K345" s="5">
        <v>1065600058</v>
      </c>
      <c r="L345" s="5">
        <v>3123009293</v>
      </c>
      <c r="M345" s="5" t="s">
        <v>24</v>
      </c>
    </row>
    <row r="346" spans="1:13" ht="15.75" x14ac:dyDescent="0.25">
      <c r="A346" s="3">
        <v>6971</v>
      </c>
      <c r="B346" s="3">
        <v>40641</v>
      </c>
      <c r="C346" s="3" t="s">
        <v>755</v>
      </c>
      <c r="D346" s="3" t="s">
        <v>756</v>
      </c>
      <c r="E346" s="4">
        <v>6982</v>
      </c>
      <c r="F346" s="3" t="s">
        <v>118</v>
      </c>
      <c r="G346" s="3" t="s">
        <v>27</v>
      </c>
      <c r="H346" s="3" t="str">
        <f>VLOOKUP(B346,'[1]Select territorios'!$C:$L,10,0)</f>
        <v>8.1874966</v>
      </c>
      <c r="I346" s="3" t="str">
        <f>VLOOKUP(B346,'[1]Select territorios'!$C:$M,11,0)</f>
        <v>-73.754926</v>
      </c>
      <c r="J346" s="5" t="s">
        <v>107</v>
      </c>
      <c r="K346" s="5">
        <v>1005281494</v>
      </c>
      <c r="L346" s="5">
        <v>3158541035</v>
      </c>
      <c r="M346" s="5" t="s">
        <v>108</v>
      </c>
    </row>
    <row r="347" spans="1:13" ht="15.75" x14ac:dyDescent="0.25">
      <c r="A347" s="3">
        <v>6971</v>
      </c>
      <c r="B347" s="3">
        <v>40729</v>
      </c>
      <c r="C347" s="3" t="s">
        <v>757</v>
      </c>
      <c r="D347" s="3" t="s">
        <v>758</v>
      </c>
      <c r="E347" s="4">
        <v>9206</v>
      </c>
      <c r="F347" s="3" t="s">
        <v>33</v>
      </c>
      <c r="G347" s="3" t="s">
        <v>16</v>
      </c>
      <c r="H347" s="3" t="str">
        <f>VLOOKUP(B347,'[1]Select territorios'!$C:$L,10,0)</f>
        <v>10.447148</v>
      </c>
      <c r="I347" s="3" t="str">
        <f>VLOOKUP(B347,'[1]Select territorios'!$C:$M,11,0)</f>
        <v>-73.278276</v>
      </c>
      <c r="J347" s="5" t="s">
        <v>17</v>
      </c>
      <c r="K347" s="5">
        <v>15173890</v>
      </c>
      <c r="L347" s="5">
        <v>3002039991</v>
      </c>
      <c r="M347" s="5" t="s">
        <v>18</v>
      </c>
    </row>
    <row r="348" spans="1:13" ht="15.75" x14ac:dyDescent="0.25">
      <c r="A348" s="3">
        <v>6971</v>
      </c>
      <c r="B348" s="3">
        <v>40818</v>
      </c>
      <c r="C348" s="3" t="s">
        <v>759</v>
      </c>
      <c r="D348" s="3" t="s">
        <v>760</v>
      </c>
      <c r="E348" s="4">
        <v>6975</v>
      </c>
      <c r="F348" s="3" t="s">
        <v>78</v>
      </c>
      <c r="G348" s="3" t="s">
        <v>27</v>
      </c>
      <c r="H348" s="3" t="str">
        <f>VLOOKUP(B348,'[1]Select territorios'!$C:$L,10,0)</f>
        <v>9.981882</v>
      </c>
      <c r="I348" s="3" t="str">
        <f>VLOOKUP(B348,'[1]Select territorios'!$C:$M,11,0)</f>
        <v>-73.878764</v>
      </c>
      <c r="J348" s="5" t="s">
        <v>48</v>
      </c>
      <c r="K348" s="5">
        <v>1064795379</v>
      </c>
      <c r="L348" s="5">
        <v>3104688587</v>
      </c>
      <c r="M348" s="5" t="s">
        <v>49</v>
      </c>
    </row>
    <row r="349" spans="1:13" ht="15.75" x14ac:dyDescent="0.25">
      <c r="A349" s="3">
        <v>6971</v>
      </c>
      <c r="B349" s="3">
        <v>40586</v>
      </c>
      <c r="C349" s="3" t="s">
        <v>761</v>
      </c>
      <c r="D349" s="3" t="s">
        <v>762</v>
      </c>
      <c r="E349" s="4">
        <v>6986</v>
      </c>
      <c r="F349" s="3" t="s">
        <v>294</v>
      </c>
      <c r="G349" s="3" t="s">
        <v>16</v>
      </c>
      <c r="H349" s="3" t="str">
        <f>VLOOKUP(B349,'[1]Select territorios'!$C:$L,10,0)</f>
        <v>9.6213</v>
      </c>
      <c r="I349" s="3" t="str">
        <f>VLOOKUP(B349,'[1]Select territorios'!$C:$M,11,0)</f>
        <v>-73.5915</v>
      </c>
      <c r="J349" s="5" t="s">
        <v>48</v>
      </c>
      <c r="K349" s="5">
        <v>1064795379</v>
      </c>
      <c r="L349" s="5">
        <v>3104688587</v>
      </c>
      <c r="M349" s="5" t="s">
        <v>49</v>
      </c>
    </row>
    <row r="350" spans="1:13" ht="15.75" x14ac:dyDescent="0.25">
      <c r="A350" s="3">
        <v>6971</v>
      </c>
      <c r="B350" s="3">
        <v>40600</v>
      </c>
      <c r="C350" s="3" t="s">
        <v>763</v>
      </c>
      <c r="D350" s="3" t="s">
        <v>764</v>
      </c>
      <c r="E350" s="4">
        <v>6980</v>
      </c>
      <c r="F350" s="3" t="s">
        <v>384</v>
      </c>
      <c r="G350" s="3" t="s">
        <v>27</v>
      </c>
      <c r="H350" s="3" t="str">
        <f>VLOOKUP(B350,'[1]Select territorios'!$C:$L,10,0)</f>
        <v>10.147747</v>
      </c>
      <c r="I350" s="3" t="str">
        <f>VLOOKUP(B350,'[1]Select territorios'!$C:$M,11,0)</f>
        <v>-73.957543</v>
      </c>
      <c r="J350" s="5" t="s">
        <v>48</v>
      </c>
      <c r="K350" s="5">
        <v>1064795379</v>
      </c>
      <c r="L350" s="5">
        <v>3104688587</v>
      </c>
      <c r="M350" s="5" t="s">
        <v>49</v>
      </c>
    </row>
    <row r="351" spans="1:13" ht="15.75" x14ac:dyDescent="0.25">
      <c r="A351" s="3">
        <v>6971</v>
      </c>
      <c r="B351" s="3">
        <v>40734</v>
      </c>
      <c r="C351" s="3" t="s">
        <v>765</v>
      </c>
      <c r="D351" s="3" t="s">
        <v>766</v>
      </c>
      <c r="E351" s="4">
        <v>6998</v>
      </c>
      <c r="F351" s="3" t="s">
        <v>106</v>
      </c>
      <c r="G351" s="3" t="s">
        <v>27</v>
      </c>
      <c r="H351" s="3" t="str">
        <f>VLOOKUP(B351,'[1]Select territorios'!$C:$L,10,0)</f>
        <v>8.00616</v>
      </c>
      <c r="I351" s="3" t="str">
        <f>VLOOKUP(B351,'[1]Select territorios'!$C:$M,11,0)</f>
        <v>-73.5138</v>
      </c>
      <c r="J351" s="5" t="s">
        <v>107</v>
      </c>
      <c r="K351" s="5">
        <v>1005281494</v>
      </c>
      <c r="L351" s="5">
        <v>3158541035</v>
      </c>
      <c r="M351" s="5" t="s">
        <v>108</v>
      </c>
    </row>
    <row r="352" spans="1:13" ht="15.75" x14ac:dyDescent="0.25">
      <c r="A352" s="3">
        <v>6971</v>
      </c>
      <c r="B352" s="3">
        <v>40950</v>
      </c>
      <c r="C352" s="3" t="s">
        <v>767</v>
      </c>
      <c r="D352" s="3" t="s">
        <v>768</v>
      </c>
      <c r="E352" s="4">
        <v>6977</v>
      </c>
      <c r="F352" s="3" t="s">
        <v>52</v>
      </c>
      <c r="G352" s="3" t="s">
        <v>27</v>
      </c>
      <c r="H352" s="3" t="str">
        <f>VLOOKUP(B352,'[1]Select territorios'!$C:$L,10,0)</f>
        <v>9.3606</v>
      </c>
      <c r="I352" s="3" t="str">
        <f>VLOOKUP(B352,'[1]Select territorios'!$C:$M,11,0)</f>
        <v>-73.6008</v>
      </c>
      <c r="J352" s="5" t="s">
        <v>48</v>
      </c>
      <c r="K352" s="5">
        <v>1064795379</v>
      </c>
      <c r="L352" s="5">
        <v>3104688587</v>
      </c>
      <c r="M352" s="5" t="s">
        <v>49</v>
      </c>
    </row>
    <row r="353" spans="1:13" ht="15.75" x14ac:dyDescent="0.25">
      <c r="A353" s="3">
        <v>6971</v>
      </c>
      <c r="B353" s="3">
        <v>41018</v>
      </c>
      <c r="C353" s="3" t="s">
        <v>769</v>
      </c>
      <c r="D353" s="3" t="s">
        <v>770</v>
      </c>
      <c r="E353" s="4">
        <v>17176</v>
      </c>
      <c r="F353" s="3" t="s">
        <v>189</v>
      </c>
      <c r="G353" s="3" t="s">
        <v>27</v>
      </c>
      <c r="H353" s="3" t="str">
        <f>VLOOKUP(B353,'[1]Select territorios'!$C:$L,10,0)</f>
        <v>10.4622</v>
      </c>
      <c r="I353" s="3" t="str">
        <f>VLOOKUP(B353,'[1]Select territorios'!$C:$M,11,0)</f>
        <v>-73.2409</v>
      </c>
      <c r="J353" s="5" t="s">
        <v>40</v>
      </c>
      <c r="K353" s="5">
        <v>1003275622</v>
      </c>
      <c r="L353" s="5">
        <v>3218847746</v>
      </c>
      <c r="M353" s="5" t="s">
        <v>41</v>
      </c>
    </row>
    <row r="354" spans="1:13" ht="15.75" x14ac:dyDescent="0.25">
      <c r="A354" s="3">
        <v>6971</v>
      </c>
      <c r="B354" s="3">
        <v>41016</v>
      </c>
      <c r="C354" s="3" t="s">
        <v>771</v>
      </c>
      <c r="D354" s="3" t="s">
        <v>772</v>
      </c>
      <c r="E354" s="4">
        <v>44808</v>
      </c>
      <c r="F354" s="3" t="s">
        <v>245</v>
      </c>
      <c r="G354" s="3" t="s">
        <v>27</v>
      </c>
      <c r="H354" s="3" t="str">
        <f>VLOOKUP(B354,'[1]Select territorios'!$C:$L,10,0)</f>
        <v>9.272707</v>
      </c>
      <c r="I354" s="3" t="str">
        <f>VLOOKUP(B354,'[1]Select territorios'!$C:$M,11,0)</f>
        <v>-73.539238</v>
      </c>
      <c r="J354" s="5" t="s">
        <v>58</v>
      </c>
      <c r="K354" s="5">
        <v>1193146338</v>
      </c>
      <c r="L354" s="5">
        <v>3202114923</v>
      </c>
      <c r="M354" s="5" t="s">
        <v>59</v>
      </c>
    </row>
    <row r="355" spans="1:13" ht="15.75" x14ac:dyDescent="0.25">
      <c r="A355" s="3">
        <v>6971</v>
      </c>
      <c r="B355" s="3">
        <v>41055</v>
      </c>
      <c r="C355" s="3" t="s">
        <v>773</v>
      </c>
      <c r="D355" s="3" t="s">
        <v>774</v>
      </c>
      <c r="E355" s="4">
        <v>6981</v>
      </c>
      <c r="F355" s="3" t="s">
        <v>47</v>
      </c>
      <c r="G355" s="3" t="s">
        <v>27</v>
      </c>
      <c r="H355" s="3" t="str">
        <f>VLOOKUP(B355,'[1]Select territorios'!$C:$L,10,0)</f>
        <v>9.6621</v>
      </c>
      <c r="I355" s="3" t="str">
        <f>VLOOKUP(B355,'[1]Select territorios'!$C:$M,11,0)</f>
        <v>-73.7444</v>
      </c>
      <c r="J355" s="5" t="s">
        <v>48</v>
      </c>
      <c r="K355" s="5">
        <v>1064795379</v>
      </c>
      <c r="L355" s="5">
        <v>3104688587</v>
      </c>
      <c r="M355" s="5" t="s">
        <v>49</v>
      </c>
    </row>
    <row r="356" spans="1:13" ht="15.75" x14ac:dyDescent="0.25">
      <c r="A356" s="3">
        <v>6971</v>
      </c>
      <c r="B356" s="3">
        <v>41047</v>
      </c>
      <c r="C356" s="3" t="s">
        <v>775</v>
      </c>
      <c r="D356" s="3" t="s">
        <v>776</v>
      </c>
      <c r="E356" s="4">
        <v>8561</v>
      </c>
      <c r="F356" s="3" t="s">
        <v>168</v>
      </c>
      <c r="G356" s="3" t="s">
        <v>27</v>
      </c>
      <c r="H356" s="3" t="str">
        <f>VLOOKUP(B356,'[1]Select territorios'!$C:$L,10,0)</f>
        <v>8.298758</v>
      </c>
      <c r="I356" s="3" t="str">
        <f>VLOOKUP(B356,'[1]Select territorios'!$C:$M,11,0)</f>
        <v>-73.620058</v>
      </c>
      <c r="J356" s="5" t="s">
        <v>107</v>
      </c>
      <c r="K356" s="5">
        <v>1005281494</v>
      </c>
      <c r="L356" s="5">
        <v>3158541035</v>
      </c>
      <c r="M356" s="5" t="s">
        <v>108</v>
      </c>
    </row>
    <row r="357" spans="1:13" ht="15.75" x14ac:dyDescent="0.25">
      <c r="A357" s="3">
        <v>6971</v>
      </c>
      <c r="B357" s="3">
        <v>41096</v>
      </c>
      <c r="C357" s="3" t="s">
        <v>777</v>
      </c>
      <c r="D357" s="3" t="s">
        <v>778</v>
      </c>
      <c r="E357" s="4">
        <v>8552</v>
      </c>
      <c r="F357" s="3" t="s">
        <v>30</v>
      </c>
      <c r="G357" s="3" t="s">
        <v>27</v>
      </c>
      <c r="H357" s="3" t="str">
        <f>VLOOKUP(B357,'[1]Select territorios'!$C:$L,10,0)</f>
        <v>10.461772</v>
      </c>
      <c r="I357" s="3" t="str">
        <f>VLOOKUP(B357,'[1]Select territorios'!$C:$M,11,0)</f>
        <v>-73.260501</v>
      </c>
      <c r="J357" s="5" t="s">
        <v>17</v>
      </c>
      <c r="K357" s="5">
        <v>15173890</v>
      </c>
      <c r="L357" s="5">
        <v>3002039991</v>
      </c>
      <c r="M357" s="5" t="s">
        <v>18</v>
      </c>
    </row>
    <row r="358" spans="1:13" ht="15.75" x14ac:dyDescent="0.25">
      <c r="A358" s="3">
        <v>6971</v>
      </c>
      <c r="B358" s="3">
        <v>41098</v>
      </c>
      <c r="C358" s="3" t="s">
        <v>779</v>
      </c>
      <c r="D358" s="3" t="s">
        <v>780</v>
      </c>
      <c r="E358" s="4">
        <v>6989</v>
      </c>
      <c r="F358" s="3" t="s">
        <v>39</v>
      </c>
      <c r="G358" s="3" t="s">
        <v>16</v>
      </c>
      <c r="H358" s="3" t="str">
        <f>VLOOKUP(B358,'[1]Select territorios'!$C:$L,10,0)</f>
        <v>10.390953</v>
      </c>
      <c r="I358" s="3" t="str">
        <f>VLOOKUP(B358,'[1]Select territorios'!$C:$M,11,0)</f>
        <v>-73.030385</v>
      </c>
      <c r="J358" s="5" t="s">
        <v>40</v>
      </c>
      <c r="K358" s="5">
        <v>1003275622</v>
      </c>
      <c r="L358" s="5">
        <v>3218847746</v>
      </c>
      <c r="M358" s="5" t="s">
        <v>41</v>
      </c>
    </row>
    <row r="359" spans="1:13" ht="15.75" x14ac:dyDescent="0.25">
      <c r="A359" s="3">
        <v>6971</v>
      </c>
      <c r="B359" s="3">
        <v>41051</v>
      </c>
      <c r="C359" s="3" t="s">
        <v>781</v>
      </c>
      <c r="D359" s="3" t="s">
        <v>782</v>
      </c>
      <c r="E359" s="4">
        <v>17191</v>
      </c>
      <c r="F359" s="3" t="s">
        <v>186</v>
      </c>
      <c r="G359" s="3" t="s">
        <v>27</v>
      </c>
      <c r="H359" s="3" t="str">
        <f>VLOOKUP(B359,'[1]Select territorios'!$C:$L,10,0)</f>
        <v>10.454047</v>
      </c>
      <c r="I359" s="3" t="str">
        <f>VLOOKUP(B359,'[1]Select territorios'!$C:$M,11,0)</f>
        <v>-73.275293</v>
      </c>
      <c r="J359" s="5" t="s">
        <v>17</v>
      </c>
      <c r="K359" s="5">
        <v>15173890</v>
      </c>
      <c r="L359" s="5">
        <v>3002039991</v>
      </c>
      <c r="M359" s="5" t="s">
        <v>18</v>
      </c>
    </row>
    <row r="360" spans="1:13" ht="15.75" x14ac:dyDescent="0.25">
      <c r="A360" s="3">
        <v>6971</v>
      </c>
      <c r="B360" s="3">
        <v>41133</v>
      </c>
      <c r="C360" s="3" t="s">
        <v>783</v>
      </c>
      <c r="D360" s="3" t="s">
        <v>784</v>
      </c>
      <c r="E360" s="4">
        <v>6978</v>
      </c>
      <c r="F360" s="3" t="s">
        <v>91</v>
      </c>
      <c r="G360" s="3" t="s">
        <v>16</v>
      </c>
      <c r="H360" s="3" t="str">
        <f>VLOOKUP(B360,'[1]Select territorios'!$C:$L,10,0)</f>
        <v>10.0383</v>
      </c>
      <c r="I360" s="3" t="str">
        <f>VLOOKUP(B360,'[1]Select territorios'!$C:$M,11,0)</f>
        <v>-73.2372</v>
      </c>
      <c r="J360" s="5" t="s">
        <v>58</v>
      </c>
      <c r="K360" s="5">
        <v>1193146338</v>
      </c>
      <c r="L360" s="5">
        <v>3202114923</v>
      </c>
      <c r="M360" s="5" t="s">
        <v>59</v>
      </c>
    </row>
    <row r="361" spans="1:13" ht="15.75" x14ac:dyDescent="0.25">
      <c r="A361" s="3">
        <v>6971</v>
      </c>
      <c r="B361" s="3">
        <v>41132</v>
      </c>
      <c r="C361" s="3" t="s">
        <v>785</v>
      </c>
      <c r="D361" s="3" t="s">
        <v>786</v>
      </c>
      <c r="E361" s="4">
        <v>42463</v>
      </c>
      <c r="F361" s="3" t="s">
        <v>377</v>
      </c>
      <c r="G361" s="3" t="s">
        <v>16</v>
      </c>
      <c r="H361" s="3" t="str">
        <f>VLOOKUP(B361,'[1]Select territorios'!$C:$L,10,0)</f>
        <v>10.024718</v>
      </c>
      <c r="I361" s="3" t="str">
        <f>VLOOKUP(B361,'[1]Select territorios'!$C:$M,11,0)</f>
        <v>-73.238914</v>
      </c>
      <c r="J361" s="5" t="s">
        <v>58</v>
      </c>
      <c r="K361" s="5">
        <v>1193146338</v>
      </c>
      <c r="L361" s="5">
        <v>3202114923</v>
      </c>
      <c r="M361" s="5" t="s">
        <v>59</v>
      </c>
    </row>
    <row r="362" spans="1:13" ht="15.75" x14ac:dyDescent="0.25">
      <c r="A362" s="3">
        <v>6971</v>
      </c>
      <c r="B362" s="3">
        <v>41046</v>
      </c>
      <c r="C362" s="3" t="s">
        <v>787</v>
      </c>
      <c r="D362" s="3" t="s">
        <v>788</v>
      </c>
      <c r="E362" s="4">
        <v>6979</v>
      </c>
      <c r="F362" s="3" t="s">
        <v>57</v>
      </c>
      <c r="G362" s="3" t="s">
        <v>27</v>
      </c>
      <c r="H362" s="3" t="str">
        <f>VLOOKUP(B362,'[1]Select territorios'!$C:$L,10,0)</f>
        <v>9.206889</v>
      </c>
      <c r="I362" s="3" t="str">
        <f>VLOOKUP(B362,'[1]Select territorios'!$C:$M,11,0)</f>
        <v>-73.539711</v>
      </c>
      <c r="J362" s="5" t="s">
        <v>58</v>
      </c>
      <c r="K362" s="5">
        <v>1193146338</v>
      </c>
      <c r="L362" s="5">
        <v>3202114923</v>
      </c>
      <c r="M362" s="5" t="s">
        <v>59</v>
      </c>
    </row>
    <row r="363" spans="1:13" ht="15.75" x14ac:dyDescent="0.25">
      <c r="A363" s="3">
        <v>6971</v>
      </c>
      <c r="B363" s="3">
        <v>41094</v>
      </c>
      <c r="C363" s="3" t="s">
        <v>789</v>
      </c>
      <c r="D363" s="3" t="s">
        <v>790</v>
      </c>
      <c r="E363" s="4">
        <v>6985</v>
      </c>
      <c r="F363" s="3" t="s">
        <v>101</v>
      </c>
      <c r="G363" s="3" t="s">
        <v>16</v>
      </c>
      <c r="H363" s="3" t="str">
        <f>VLOOKUP(B363,'[1]Select territorios'!$C:$L,10,0)</f>
        <v>9.50315</v>
      </c>
      <c r="I363" s="3" t="str">
        <f>VLOOKUP(B363,'[1]Select territorios'!$C:$M,11,0)</f>
        <v>-73.404856</v>
      </c>
      <c r="J363" s="5" t="s">
        <v>58</v>
      </c>
      <c r="K363" s="5">
        <v>1193146338</v>
      </c>
      <c r="L363" s="5">
        <v>3202114923</v>
      </c>
      <c r="M363" s="5" t="s">
        <v>59</v>
      </c>
    </row>
    <row r="364" spans="1:13" ht="15.75" x14ac:dyDescent="0.25">
      <c r="A364" s="3">
        <v>6971</v>
      </c>
      <c r="B364" s="3">
        <v>41093</v>
      </c>
      <c r="C364" s="3" t="s">
        <v>791</v>
      </c>
      <c r="D364" s="3" t="s">
        <v>792</v>
      </c>
      <c r="E364" s="4">
        <v>6988</v>
      </c>
      <c r="F364" s="3" t="s">
        <v>227</v>
      </c>
      <c r="G364" s="3" t="s">
        <v>16</v>
      </c>
      <c r="H364" s="3" t="str">
        <f>VLOOKUP(B364,'[1]Select territorios'!$C:$L,10,0)</f>
        <v>10.386957</v>
      </c>
      <c r="I364" s="3" t="str">
        <f>VLOOKUP(B364,'[1]Select territorios'!$C:$M,11,0)</f>
        <v>-73.165817</v>
      </c>
      <c r="J364" s="5" t="s">
        <v>23</v>
      </c>
      <c r="K364" s="5">
        <v>1065600058</v>
      </c>
      <c r="L364" s="5">
        <v>3123009293</v>
      </c>
      <c r="M364" s="5" t="s">
        <v>24</v>
      </c>
    </row>
    <row r="365" spans="1:13" ht="15.75" x14ac:dyDescent="0.25">
      <c r="A365" s="3">
        <v>6971</v>
      </c>
      <c r="B365" s="3">
        <v>41095</v>
      </c>
      <c r="C365" s="3" t="s">
        <v>793</v>
      </c>
      <c r="D365" s="3" t="s">
        <v>794</v>
      </c>
      <c r="E365" s="4">
        <v>6988</v>
      </c>
      <c r="F365" s="3" t="s">
        <v>227</v>
      </c>
      <c r="G365" s="3" t="s">
        <v>16</v>
      </c>
      <c r="H365" s="3" t="str">
        <f>VLOOKUP(B365,'[1]Select territorios'!$C:$L,10,0)</f>
        <v>10.368602</v>
      </c>
      <c r="I365" s="3" t="str">
        <f>VLOOKUP(B365,'[1]Select territorios'!$C:$M,11,0)</f>
        <v>-73.255825</v>
      </c>
      <c r="J365" s="5" t="s">
        <v>23</v>
      </c>
      <c r="K365" s="5">
        <v>1065600058</v>
      </c>
      <c r="L365" s="5">
        <v>3123009293</v>
      </c>
      <c r="M365" s="5" t="s">
        <v>24</v>
      </c>
    </row>
    <row r="366" spans="1:13" ht="15.75" x14ac:dyDescent="0.25">
      <c r="A366" s="3">
        <v>6971</v>
      </c>
      <c r="B366" s="3">
        <v>41091</v>
      </c>
      <c r="C366" s="3" t="s">
        <v>795</v>
      </c>
      <c r="D366" s="3" t="s">
        <v>796</v>
      </c>
      <c r="E366" s="4">
        <v>6997</v>
      </c>
      <c r="F366" s="3" t="s">
        <v>88</v>
      </c>
      <c r="G366" s="3" t="s">
        <v>16</v>
      </c>
      <c r="H366" s="3" t="str">
        <f>VLOOKUP(B366,'[1]Select territorios'!$C:$L,10,0)</f>
        <v>10.1836</v>
      </c>
      <c r="I366" s="3" t="str">
        <f>VLOOKUP(B366,'[1]Select territorios'!$C:$M,11,0)</f>
        <v>-73.2664</v>
      </c>
      <c r="J366" s="5" t="s">
        <v>17</v>
      </c>
      <c r="K366" s="5">
        <v>15173890</v>
      </c>
      <c r="L366" s="5">
        <v>3002039991</v>
      </c>
      <c r="M366" s="5" t="s">
        <v>18</v>
      </c>
    </row>
    <row r="367" spans="1:13" ht="15.75" x14ac:dyDescent="0.25">
      <c r="A367" s="3">
        <v>6971</v>
      </c>
      <c r="B367" s="3">
        <v>41101</v>
      </c>
      <c r="C367" s="3" t="s">
        <v>797</v>
      </c>
      <c r="D367" s="3" t="s">
        <v>798</v>
      </c>
      <c r="E367" s="4">
        <v>42463</v>
      </c>
      <c r="F367" s="3" t="s">
        <v>377</v>
      </c>
      <c r="G367" s="3" t="s">
        <v>16</v>
      </c>
      <c r="H367" s="3" t="str">
        <f>VLOOKUP(B367,'[1]Select territorios'!$C:$L,10,0)</f>
        <v>10.028022</v>
      </c>
      <c r="I367" s="3" t="str">
        <f>VLOOKUP(B367,'[1]Select territorios'!$C:$M,11,0)</f>
        <v>-73.233301</v>
      </c>
      <c r="J367" s="5" t="s">
        <v>58</v>
      </c>
      <c r="K367" s="5">
        <v>1193146338</v>
      </c>
      <c r="L367" s="5">
        <v>3202114923</v>
      </c>
      <c r="M367" s="5" t="s">
        <v>59</v>
      </c>
    </row>
    <row r="368" spans="1:13" ht="15.75" x14ac:dyDescent="0.25">
      <c r="A368" s="3">
        <v>6971</v>
      </c>
      <c r="B368" s="3">
        <v>41137</v>
      </c>
      <c r="C368" s="3" t="s">
        <v>799</v>
      </c>
      <c r="D368" s="3" t="s">
        <v>800</v>
      </c>
      <c r="E368" s="4">
        <v>6978</v>
      </c>
      <c r="F368" s="3" t="s">
        <v>91</v>
      </c>
      <c r="G368" s="3" t="s">
        <v>27</v>
      </c>
      <c r="H368" s="3" t="str">
        <f>VLOOKUP(B368,'[1]Select territorios'!$C:$L,10,0)</f>
        <v>10.04394</v>
      </c>
      <c r="I368" s="3" t="str">
        <f>VLOOKUP(B368,'[1]Select territorios'!$C:$M,11,0)</f>
        <v>-73.23861</v>
      </c>
      <c r="J368" s="5" t="s">
        <v>58</v>
      </c>
      <c r="K368" s="5">
        <v>1193146338</v>
      </c>
      <c r="L368" s="5">
        <v>3202114923</v>
      </c>
      <c r="M368" s="5" t="s">
        <v>59</v>
      </c>
    </row>
    <row r="369" spans="1:13" ht="15.75" x14ac:dyDescent="0.25">
      <c r="A369" s="3">
        <v>6971</v>
      </c>
      <c r="B369" s="3">
        <v>41139</v>
      </c>
      <c r="C369" s="3" t="s">
        <v>801</v>
      </c>
      <c r="D369" s="3" t="s">
        <v>802</v>
      </c>
      <c r="E369" s="4">
        <v>42463</v>
      </c>
      <c r="F369" s="3" t="s">
        <v>377</v>
      </c>
      <c r="G369" s="3" t="s">
        <v>27</v>
      </c>
      <c r="H369" s="3" t="str">
        <f>VLOOKUP(B369,'[1]Select territorios'!$C:$L,10,0)</f>
        <v>10.03168</v>
      </c>
      <c r="I369" s="3" t="str">
        <f>VLOOKUP(B369,'[1]Select territorios'!$C:$M,11,0)</f>
        <v>-73.22872</v>
      </c>
      <c r="J369" s="5" t="s">
        <v>58</v>
      </c>
      <c r="K369" s="5">
        <v>1193146338</v>
      </c>
      <c r="L369" s="5">
        <v>3202114923</v>
      </c>
      <c r="M369" s="5" t="s">
        <v>59</v>
      </c>
    </row>
    <row r="370" spans="1:13" ht="15.75" x14ac:dyDescent="0.25">
      <c r="A370" s="3">
        <v>6971</v>
      </c>
      <c r="B370" s="3">
        <v>42381</v>
      </c>
      <c r="C370" s="3" t="s">
        <v>803</v>
      </c>
      <c r="D370" s="3" t="s">
        <v>804</v>
      </c>
      <c r="E370" s="4">
        <v>6979</v>
      </c>
      <c r="F370" s="3" t="s">
        <v>57</v>
      </c>
      <c r="G370" s="3" t="s">
        <v>631</v>
      </c>
      <c r="H370" s="3" t="str">
        <f>VLOOKUP(B370,'[1]Select territorios'!$C:$L,10,0)</f>
        <v>9.200412</v>
      </c>
      <c r="I370" s="3" t="str">
        <f>VLOOKUP(B370,'[1]Select territorios'!$C:$M,11,0)</f>
        <v>-73.539947</v>
      </c>
      <c r="J370" s="5" t="s">
        <v>58</v>
      </c>
      <c r="K370" s="5">
        <v>1193146338</v>
      </c>
      <c r="L370" s="5">
        <v>3202114923</v>
      </c>
      <c r="M370" s="5" t="s">
        <v>59</v>
      </c>
    </row>
    <row r="371" spans="1:13" ht="15.75" x14ac:dyDescent="0.25">
      <c r="A371" s="3">
        <v>6971</v>
      </c>
      <c r="B371" s="3">
        <v>42511</v>
      </c>
      <c r="C371" s="3" t="s">
        <v>805</v>
      </c>
      <c r="D371" s="3" t="s">
        <v>806</v>
      </c>
      <c r="E371" s="4">
        <v>17191</v>
      </c>
      <c r="F371" s="3" t="s">
        <v>186</v>
      </c>
      <c r="G371" s="3" t="s">
        <v>16</v>
      </c>
      <c r="H371" s="3" t="str">
        <f>VLOOKUP(B371,'[1]Select territorios'!$C:$L,10,0)</f>
        <v>10.4535</v>
      </c>
      <c r="I371" s="3" t="str">
        <f>VLOOKUP(B371,'[1]Select territorios'!$C:$M,11,0)</f>
        <v>-73.2814</v>
      </c>
      <c r="J371" s="5" t="s">
        <v>17</v>
      </c>
      <c r="K371" s="5">
        <v>15173890</v>
      </c>
      <c r="L371" s="5">
        <v>3002039991</v>
      </c>
      <c r="M371" s="5" t="s">
        <v>18</v>
      </c>
    </row>
    <row r="372" spans="1:13" ht="15.75" x14ac:dyDescent="0.25">
      <c r="A372" s="3">
        <v>6971</v>
      </c>
      <c r="B372" s="3">
        <v>41988</v>
      </c>
      <c r="C372" s="3" t="s">
        <v>807</v>
      </c>
      <c r="D372" s="3" t="s">
        <v>808</v>
      </c>
      <c r="E372" s="4">
        <v>9206</v>
      </c>
      <c r="F372" s="3" t="s">
        <v>33</v>
      </c>
      <c r="G372" s="3" t="s">
        <v>631</v>
      </c>
      <c r="H372" s="3" t="str">
        <f>VLOOKUP(B372,'[1]Select territorios'!$C:$L,10,0)</f>
        <v>10.453954</v>
      </c>
      <c r="I372" s="3" t="str">
        <f>VLOOKUP(B372,'[1]Select territorios'!$C:$M,11,0)</f>
        <v>-73.26449536</v>
      </c>
      <c r="J372" s="5" t="s">
        <v>17</v>
      </c>
      <c r="K372" s="5">
        <v>15173890</v>
      </c>
      <c r="L372" s="5">
        <v>3002039991</v>
      </c>
      <c r="M372" s="5" t="s">
        <v>18</v>
      </c>
    </row>
    <row r="373" spans="1:13" ht="15.75" x14ac:dyDescent="0.25">
      <c r="A373" s="3">
        <v>6971</v>
      </c>
      <c r="B373" s="3">
        <v>41103</v>
      </c>
      <c r="C373" s="3" t="s">
        <v>809</v>
      </c>
      <c r="D373" s="3" t="s">
        <v>810</v>
      </c>
      <c r="E373" s="4">
        <v>8552</v>
      </c>
      <c r="F373" s="3" t="s">
        <v>30</v>
      </c>
      <c r="G373" s="3" t="s">
        <v>16</v>
      </c>
      <c r="H373" s="3" t="str">
        <f>VLOOKUP(B373,'[1]Select territorios'!$C:$L,10,0)</f>
        <v>10.455406</v>
      </c>
      <c r="I373" s="3" t="str">
        <f>VLOOKUP(B373,'[1]Select territorios'!$C:$M,11,0)</f>
        <v>-73.257332</v>
      </c>
      <c r="J373" s="5" t="s">
        <v>17</v>
      </c>
      <c r="K373" s="5">
        <v>15173890</v>
      </c>
      <c r="L373" s="5">
        <v>3002039991</v>
      </c>
      <c r="M373" s="5" t="s">
        <v>18</v>
      </c>
    </row>
    <row r="374" spans="1:13" ht="15.75" x14ac:dyDescent="0.25">
      <c r="A374" s="3">
        <v>6971</v>
      </c>
      <c r="B374" s="3">
        <v>42377</v>
      </c>
      <c r="C374" s="3" t="s">
        <v>811</v>
      </c>
      <c r="D374" s="3" t="s">
        <v>812</v>
      </c>
      <c r="E374" s="4">
        <v>20329</v>
      </c>
      <c r="F374" s="3" t="s">
        <v>152</v>
      </c>
      <c r="G374" s="3" t="s">
        <v>27</v>
      </c>
      <c r="H374" s="3" t="str">
        <f>VLOOKUP(B374,'[1]Select territorios'!$C:$L,10,0)</f>
        <v>9.83611</v>
      </c>
      <c r="I374" s="3" t="str">
        <f>VLOOKUP(B374,'[1]Select territorios'!$C:$M,11,0)</f>
        <v>-73.2597921</v>
      </c>
      <c r="J374" s="5" t="s">
        <v>58</v>
      </c>
      <c r="K374" s="5">
        <v>1193146338</v>
      </c>
      <c r="L374" s="5">
        <v>3202114923</v>
      </c>
      <c r="M374" s="5" t="s">
        <v>59</v>
      </c>
    </row>
    <row r="375" spans="1:13" ht="15.75" x14ac:dyDescent="0.25">
      <c r="A375" s="3">
        <v>6971</v>
      </c>
      <c r="B375" s="3">
        <v>41063</v>
      </c>
      <c r="C375" s="3" t="s">
        <v>813</v>
      </c>
      <c r="D375" s="3" t="s">
        <v>814</v>
      </c>
      <c r="E375" s="4">
        <v>8553</v>
      </c>
      <c r="F375" s="3" t="s">
        <v>15</v>
      </c>
      <c r="G375" s="3" t="s">
        <v>16</v>
      </c>
      <c r="H375" s="3" t="str">
        <f>VLOOKUP(B375,'[1]Select territorios'!$C:$L,10,0)</f>
        <v>10.473433</v>
      </c>
      <c r="I375" s="3" t="str">
        <f>VLOOKUP(B375,'[1]Select territorios'!$C:$M,11,0)</f>
        <v>-73.280507</v>
      </c>
      <c r="J375" s="5" t="s">
        <v>17</v>
      </c>
      <c r="K375" s="5">
        <v>15173890</v>
      </c>
      <c r="L375" s="5">
        <v>3002039991</v>
      </c>
      <c r="M375" s="5" t="s">
        <v>18</v>
      </c>
    </row>
    <row r="376" spans="1:13" ht="15.75" x14ac:dyDescent="0.25">
      <c r="A376" s="3">
        <v>6971</v>
      </c>
      <c r="B376" s="3">
        <v>41025</v>
      </c>
      <c r="C376" s="3" t="s">
        <v>815</v>
      </c>
      <c r="D376" s="3" t="s">
        <v>816</v>
      </c>
      <c r="E376" s="4">
        <v>8558</v>
      </c>
      <c r="F376" s="3" t="s">
        <v>62</v>
      </c>
      <c r="G376" s="3" t="s">
        <v>16</v>
      </c>
      <c r="H376" s="3" t="str">
        <f>VLOOKUP(B376,'[1]Select territorios'!$C:$L,10,0)</f>
        <v>10.467622</v>
      </c>
      <c r="I376" s="3" t="str">
        <f>VLOOKUP(B376,'[1]Select territorios'!$C:$M,11,0)</f>
        <v>-73.265727</v>
      </c>
      <c r="J376" s="5" t="s">
        <v>23</v>
      </c>
      <c r="K376" s="5">
        <v>1065600058</v>
      </c>
      <c r="L376" s="5">
        <v>3123009293</v>
      </c>
      <c r="M376" s="5" t="s">
        <v>24</v>
      </c>
    </row>
    <row r="377" spans="1:13" ht="15.75" x14ac:dyDescent="0.25">
      <c r="A377" s="3">
        <v>6971</v>
      </c>
      <c r="B377" s="3">
        <v>41127</v>
      </c>
      <c r="C377" s="3" t="s">
        <v>817</v>
      </c>
      <c r="D377" s="3" t="s">
        <v>818</v>
      </c>
      <c r="E377" s="4">
        <v>6974</v>
      </c>
      <c r="F377" s="3" t="s">
        <v>123</v>
      </c>
      <c r="G377" s="3" t="s">
        <v>16</v>
      </c>
      <c r="H377" s="3" t="str">
        <f>VLOOKUP(B377,'[1]Select territorios'!$C:$L,10,0)</f>
        <v>9.69928</v>
      </c>
      <c r="I377" s="3" t="str">
        <f>VLOOKUP(B377,'[1]Select territorios'!$C:$M,11,0)</f>
        <v>-73.2801</v>
      </c>
      <c r="J377" s="5" t="s">
        <v>58</v>
      </c>
      <c r="K377" s="5">
        <v>1193146338</v>
      </c>
      <c r="L377" s="5">
        <v>3202114923</v>
      </c>
      <c r="M377" s="5" t="s">
        <v>59</v>
      </c>
    </row>
    <row r="378" spans="1:13" ht="15.75" x14ac:dyDescent="0.25">
      <c r="A378" s="3">
        <v>6971</v>
      </c>
      <c r="B378" s="3">
        <v>41089</v>
      </c>
      <c r="C378" s="3" t="s">
        <v>819</v>
      </c>
      <c r="D378" s="3" t="s">
        <v>820</v>
      </c>
      <c r="E378" s="4">
        <v>9206</v>
      </c>
      <c r="F378" s="3" t="s">
        <v>33</v>
      </c>
      <c r="G378" s="3" t="s">
        <v>16</v>
      </c>
      <c r="H378" s="3" t="str">
        <f>VLOOKUP(B378,'[1]Select territorios'!$C:$L,10,0)</f>
        <v>10.449833</v>
      </c>
      <c r="I378" s="3" t="str">
        <f>VLOOKUP(B378,'[1]Select territorios'!$C:$M,11,0)</f>
        <v>-73.27713</v>
      </c>
      <c r="J378" s="5" t="s">
        <v>17</v>
      </c>
      <c r="K378" s="5">
        <v>15173890</v>
      </c>
      <c r="L378" s="5">
        <v>3002039991</v>
      </c>
      <c r="M378" s="5" t="s">
        <v>18</v>
      </c>
    </row>
    <row r="379" spans="1:13" ht="15.75" x14ac:dyDescent="0.25">
      <c r="A379" s="3">
        <v>6971</v>
      </c>
      <c r="B379" s="3">
        <v>42003</v>
      </c>
      <c r="C379" s="3" t="s">
        <v>821</v>
      </c>
      <c r="D379" s="3" t="s">
        <v>822</v>
      </c>
      <c r="E379" s="4">
        <v>6991</v>
      </c>
      <c r="F379" s="3" t="s">
        <v>70</v>
      </c>
      <c r="G379" s="3" t="s">
        <v>27</v>
      </c>
      <c r="H379" s="3" t="str">
        <f>VLOOKUP(B379,'[1]Select territorios'!$C:$L,10,0)</f>
        <v>8.68993</v>
      </c>
      <c r="I379" s="3" t="str">
        <f>VLOOKUP(B379,'[1]Select territorios'!$C:$M,11,0)</f>
        <v>-73.664949</v>
      </c>
      <c r="J379" s="5" t="s">
        <v>71</v>
      </c>
      <c r="K379" s="5">
        <v>1065818056</v>
      </c>
      <c r="L379" s="5">
        <v>3145467066</v>
      </c>
      <c r="M379" s="5" t="s">
        <v>72</v>
      </c>
    </row>
    <row r="380" spans="1:13" ht="15.75" x14ac:dyDescent="0.25">
      <c r="A380" s="3">
        <v>6971</v>
      </c>
      <c r="B380" s="3">
        <v>41148</v>
      </c>
      <c r="C380" s="3" t="s">
        <v>823</v>
      </c>
      <c r="D380" s="3" t="s">
        <v>824</v>
      </c>
      <c r="E380" s="4">
        <v>18936</v>
      </c>
      <c r="F380" s="3" t="s">
        <v>21</v>
      </c>
      <c r="G380" s="3" t="s">
        <v>27</v>
      </c>
      <c r="H380" s="3" t="str">
        <f>VLOOKUP(B380,'[1]Select territorios'!$C:$L,10,0)</f>
        <v>10.4855632</v>
      </c>
      <c r="I380" s="3" t="str">
        <f>VLOOKUP(B380,'[1]Select territorios'!$C:$M,11,0)</f>
        <v>-73.26526509</v>
      </c>
      <c r="J380" s="5" t="s">
        <v>23</v>
      </c>
      <c r="K380" s="5">
        <v>1065600058</v>
      </c>
      <c r="L380" s="5">
        <v>3123009293</v>
      </c>
      <c r="M380" s="5" t="s">
        <v>24</v>
      </c>
    </row>
    <row r="381" spans="1:13" ht="15.75" x14ac:dyDescent="0.25">
      <c r="A381" s="3">
        <v>6971</v>
      </c>
      <c r="B381" s="3">
        <v>41130</v>
      </c>
      <c r="C381" s="3" t="s">
        <v>825</v>
      </c>
      <c r="D381" s="3" t="s">
        <v>826</v>
      </c>
      <c r="E381" s="4">
        <v>6978</v>
      </c>
      <c r="F381" s="3" t="s">
        <v>91</v>
      </c>
      <c r="G381" s="3" t="s">
        <v>16</v>
      </c>
      <c r="H381" s="3" t="str">
        <f>VLOOKUP(B381,'[1]Select territorios'!$C:$L,10,0)</f>
        <v>10.04083</v>
      </c>
      <c r="I381" s="3" t="str">
        <f>VLOOKUP(B381,'[1]Select territorios'!$C:$M,11,0)</f>
        <v>-73.23886</v>
      </c>
      <c r="J381" s="5" t="s">
        <v>58</v>
      </c>
      <c r="K381" s="5">
        <v>1193146338</v>
      </c>
      <c r="L381" s="5">
        <v>3202114923</v>
      </c>
      <c r="M381" s="5" t="s">
        <v>59</v>
      </c>
    </row>
    <row r="382" spans="1:13" ht="15.75" x14ac:dyDescent="0.25">
      <c r="A382" s="3">
        <v>6971</v>
      </c>
      <c r="B382" s="3">
        <v>41088</v>
      </c>
      <c r="C382" s="3" t="s">
        <v>827</v>
      </c>
      <c r="D382" s="3" t="s">
        <v>828</v>
      </c>
      <c r="E382" s="4">
        <v>45388</v>
      </c>
      <c r="F382" s="3" t="s">
        <v>196</v>
      </c>
      <c r="G382" s="3" t="s">
        <v>16</v>
      </c>
      <c r="H382" s="3" t="str">
        <f>VLOOKUP(B382,'[1]Select territorios'!$C:$L,10,0)</f>
        <v>9.9789</v>
      </c>
      <c r="I382" s="3" t="str">
        <f>VLOOKUP(B382,'[1]Select territorios'!$C:$M,11,0)</f>
        <v>-73.8913</v>
      </c>
      <c r="J382" s="5" t="s">
        <v>48</v>
      </c>
      <c r="K382" s="5">
        <v>1064795379</v>
      </c>
      <c r="L382" s="5">
        <v>3104688587</v>
      </c>
      <c r="M382" s="5" t="s">
        <v>49</v>
      </c>
    </row>
    <row r="383" spans="1:13" ht="15.75" x14ac:dyDescent="0.25">
      <c r="A383" s="3">
        <v>6971</v>
      </c>
      <c r="B383" s="3">
        <v>41026</v>
      </c>
      <c r="C383" s="3" t="s">
        <v>829</v>
      </c>
      <c r="D383" s="3" t="s">
        <v>830</v>
      </c>
      <c r="E383" s="4">
        <v>45388</v>
      </c>
      <c r="F383" s="3" t="s">
        <v>196</v>
      </c>
      <c r="G383" s="3" t="s">
        <v>16</v>
      </c>
      <c r="H383" s="3" t="str">
        <f>VLOOKUP(B383,'[1]Select territorios'!$C:$L,10,0)</f>
        <v>9.9707</v>
      </c>
      <c r="I383" s="3" t="str">
        <f>VLOOKUP(B383,'[1]Select territorios'!$C:$M,11,0)</f>
        <v>-73.8848</v>
      </c>
      <c r="J383" s="5" t="s">
        <v>48</v>
      </c>
      <c r="K383" s="5">
        <v>1064795379</v>
      </c>
      <c r="L383" s="5">
        <v>3104688587</v>
      </c>
      <c r="M383" s="5" t="s">
        <v>49</v>
      </c>
    </row>
    <row r="384" spans="1:13" ht="15.75" x14ac:dyDescent="0.25">
      <c r="A384" s="3">
        <v>6971</v>
      </c>
      <c r="B384" s="3">
        <v>42466</v>
      </c>
      <c r="C384" s="3" t="s">
        <v>831</v>
      </c>
      <c r="D384" s="3" t="s">
        <v>832</v>
      </c>
      <c r="E384" s="4">
        <v>42463</v>
      </c>
      <c r="F384" s="3" t="s">
        <v>377</v>
      </c>
      <c r="G384" s="3" t="s">
        <v>22</v>
      </c>
      <c r="H384" s="3" t="str">
        <f>VLOOKUP(B384,'[1]Select territorios'!$C:$L,10,0)</f>
        <v>10.032956</v>
      </c>
      <c r="I384" s="3" t="str">
        <f>VLOOKUP(B384,'[1]Select territorios'!$C:$M,11,0)</f>
        <v>-73.236511</v>
      </c>
      <c r="J384" s="5" t="s">
        <v>58</v>
      </c>
      <c r="K384" s="5">
        <v>1193146338</v>
      </c>
      <c r="L384" s="5">
        <v>3202114923</v>
      </c>
      <c r="M384" s="5" t="s">
        <v>59</v>
      </c>
    </row>
    <row r="385" spans="1:13" ht="15.75" x14ac:dyDescent="0.25">
      <c r="A385" s="3">
        <v>6971</v>
      </c>
      <c r="B385" s="3">
        <v>42487</v>
      </c>
      <c r="C385" s="3" t="s">
        <v>833</v>
      </c>
      <c r="D385" s="3" t="s">
        <v>834</v>
      </c>
      <c r="E385" s="4">
        <v>6976</v>
      </c>
      <c r="F385" s="3" t="s">
        <v>96</v>
      </c>
      <c r="G385" s="3" t="s">
        <v>27</v>
      </c>
      <c r="H385" s="3" t="str">
        <f>VLOOKUP(B385,'[1]Select territorios'!$C:$L,10,0)</f>
        <v>9.258371</v>
      </c>
      <c r="I385" s="3" t="str">
        <f>VLOOKUP(B385,'[1]Select territorios'!$C:$M,11,0)</f>
        <v>-73.812855</v>
      </c>
      <c r="J385" s="5" t="s">
        <v>48</v>
      </c>
      <c r="K385" s="5">
        <v>1064795379</v>
      </c>
      <c r="L385" s="5">
        <v>3104688587</v>
      </c>
      <c r="M385" s="5" t="s">
        <v>49</v>
      </c>
    </row>
    <row r="386" spans="1:13" ht="15.75" x14ac:dyDescent="0.25">
      <c r="A386" s="3">
        <v>6971</v>
      </c>
      <c r="B386" s="3">
        <v>42470</v>
      </c>
      <c r="C386" s="3" t="s">
        <v>835</v>
      </c>
      <c r="D386" s="3" t="s">
        <v>836</v>
      </c>
      <c r="E386" s="4">
        <v>6988</v>
      </c>
      <c r="F386" s="3" t="s">
        <v>227</v>
      </c>
      <c r="G386" s="3" t="s">
        <v>16</v>
      </c>
      <c r="H386" s="3" t="str">
        <f>VLOOKUP(B386,'[1]Select territorios'!$C:$L,10,0)</f>
        <v>10.386912</v>
      </c>
      <c r="I386" s="3" t="str">
        <f>VLOOKUP(B386,'[1]Select territorios'!$C:$M,11,0)</f>
        <v>-73.169577</v>
      </c>
      <c r="J386" s="5" t="s">
        <v>23</v>
      </c>
      <c r="K386" s="5">
        <v>1065600058</v>
      </c>
      <c r="L386" s="5">
        <v>3123009293</v>
      </c>
      <c r="M386" s="5" t="s">
        <v>24</v>
      </c>
    </row>
    <row r="387" spans="1:13" ht="15.75" x14ac:dyDescent="0.25">
      <c r="A387" s="3">
        <v>6971</v>
      </c>
      <c r="B387" s="3">
        <v>42375</v>
      </c>
      <c r="C387" s="3" t="s">
        <v>837</v>
      </c>
      <c r="D387" s="3" t="s">
        <v>838</v>
      </c>
      <c r="E387" s="4">
        <v>8553</v>
      </c>
      <c r="F387" s="3" t="s">
        <v>15</v>
      </c>
      <c r="G387" s="3" t="s">
        <v>27</v>
      </c>
      <c r="H387" s="3" t="str">
        <f>VLOOKUP(B387,'[1]Select territorios'!$C:$L,10,0)</f>
        <v>10.4765083</v>
      </c>
      <c r="I387" s="3" t="str">
        <f>VLOOKUP(B387,'[1]Select territorios'!$C:$M,11,0)</f>
        <v>-73.290371</v>
      </c>
      <c r="J387" s="5" t="s">
        <v>17</v>
      </c>
      <c r="K387" s="5">
        <v>15173890</v>
      </c>
      <c r="L387" s="5">
        <v>3002039991</v>
      </c>
      <c r="M387" s="5" t="s">
        <v>18</v>
      </c>
    </row>
    <row r="388" spans="1:13" ht="15.75" x14ac:dyDescent="0.25">
      <c r="A388" s="3">
        <v>6971</v>
      </c>
      <c r="B388" s="3">
        <v>42508</v>
      </c>
      <c r="C388" s="3" t="s">
        <v>839</v>
      </c>
      <c r="D388" s="3" t="s">
        <v>840</v>
      </c>
      <c r="E388" s="4">
        <v>6988</v>
      </c>
      <c r="F388" s="3" t="s">
        <v>227</v>
      </c>
      <c r="G388" s="3" t="s">
        <v>631</v>
      </c>
      <c r="H388" s="3" t="str">
        <f>VLOOKUP(B388,'[1]Select territorios'!$C:$L,10,0)</f>
        <v>10.387032</v>
      </c>
      <c r="I388" s="3" t="str">
        <f>VLOOKUP(B388,'[1]Select territorios'!$C:$M,11,0)</f>
        <v>-73.170469</v>
      </c>
      <c r="J388" s="5" t="s">
        <v>23</v>
      </c>
      <c r="K388" s="5">
        <v>1065600058</v>
      </c>
      <c r="L388" s="5">
        <v>3123009293</v>
      </c>
      <c r="M388" s="5" t="s">
        <v>24</v>
      </c>
    </row>
    <row r="389" spans="1:13" ht="15.75" x14ac:dyDescent="0.25">
      <c r="A389" s="3">
        <v>6971</v>
      </c>
      <c r="B389" s="3">
        <v>41134</v>
      </c>
      <c r="C389" s="3" t="s">
        <v>841</v>
      </c>
      <c r="D389" s="3" t="s">
        <v>842</v>
      </c>
      <c r="E389" s="4">
        <v>6977</v>
      </c>
      <c r="F389" s="3" t="s">
        <v>52</v>
      </c>
      <c r="G389" s="3" t="s">
        <v>16</v>
      </c>
      <c r="H389" s="3" t="str">
        <f>VLOOKUP(B389,'[1]Select territorios'!$C:$L,10,0)</f>
        <v>9.3637</v>
      </c>
      <c r="I389" s="3" t="str">
        <f>VLOOKUP(B389,'[1]Select territorios'!$C:$M,11,0)</f>
        <v>-73.6013</v>
      </c>
      <c r="J389" s="5" t="s">
        <v>48</v>
      </c>
      <c r="K389" s="5">
        <v>1064795379</v>
      </c>
      <c r="L389" s="5">
        <v>3104688587</v>
      </c>
      <c r="M389" s="5" t="s">
        <v>49</v>
      </c>
    </row>
    <row r="390" spans="1:13" ht="15.75" x14ac:dyDescent="0.25">
      <c r="A390" s="3">
        <v>6971</v>
      </c>
      <c r="B390" s="3">
        <v>41131</v>
      </c>
      <c r="C390" s="3" t="s">
        <v>843</v>
      </c>
      <c r="D390" s="3" t="s">
        <v>844</v>
      </c>
      <c r="E390" s="4">
        <v>6985</v>
      </c>
      <c r="F390" s="3" t="s">
        <v>101</v>
      </c>
      <c r="G390" s="3" t="s">
        <v>16</v>
      </c>
      <c r="H390" s="3" t="str">
        <f>VLOOKUP(B390,'[1]Select territorios'!$C:$L,10,0)</f>
        <v>9.5654</v>
      </c>
      <c r="I390" s="3" t="str">
        <f>VLOOKUP(B390,'[1]Select territorios'!$C:$M,11,0)</f>
        <v>-73.3313</v>
      </c>
      <c r="J390" s="5" t="s">
        <v>58</v>
      </c>
      <c r="K390" s="5">
        <v>1193146338</v>
      </c>
      <c r="L390" s="5">
        <v>3202114923</v>
      </c>
      <c r="M390" s="5" t="s">
        <v>59</v>
      </c>
    </row>
    <row r="391" spans="1:13" ht="15.75" x14ac:dyDescent="0.25">
      <c r="A391" s="3">
        <v>6971</v>
      </c>
      <c r="B391" s="3">
        <v>42505</v>
      </c>
      <c r="C391" s="3" t="s">
        <v>845</v>
      </c>
      <c r="D391" s="3" t="s">
        <v>846</v>
      </c>
      <c r="E391" s="4">
        <v>6999</v>
      </c>
      <c r="F391" s="3" t="s">
        <v>260</v>
      </c>
      <c r="G391" s="3" t="s">
        <v>27</v>
      </c>
      <c r="H391" s="3" t="str">
        <f>VLOOKUP(B391,'[1]Select territorios'!$C:$L,10,0)</f>
        <v>8.86640597</v>
      </c>
      <c r="I391" s="3" t="str">
        <f>VLOOKUP(B391,'[1]Select territorios'!$C:$M,11,0)</f>
        <v>-73.81708218</v>
      </c>
      <c r="J391" s="5" t="s">
        <v>71</v>
      </c>
      <c r="K391" s="5">
        <v>1065818056</v>
      </c>
      <c r="L391" s="5">
        <v>3145467066</v>
      </c>
      <c r="M391" s="5" t="s">
        <v>72</v>
      </c>
    </row>
    <row r="392" spans="1:13" ht="15.75" x14ac:dyDescent="0.25">
      <c r="A392" s="3">
        <v>6971</v>
      </c>
      <c r="B392" s="3">
        <v>42503</v>
      </c>
      <c r="C392" s="3" t="s">
        <v>847</v>
      </c>
      <c r="D392" s="3" t="s">
        <v>848</v>
      </c>
      <c r="E392" s="4">
        <v>8554</v>
      </c>
      <c r="F392" s="3" t="s">
        <v>81</v>
      </c>
      <c r="G392" s="3" t="s">
        <v>27</v>
      </c>
      <c r="H392" s="3" t="str">
        <f>VLOOKUP(B392,'[1]Select territorios'!$C:$L,10,0)</f>
        <v>10.4521</v>
      </c>
      <c r="I392" s="3" t="str">
        <f>VLOOKUP(B392,'[1]Select territorios'!$C:$M,11,0)</f>
        <v>-73.2474</v>
      </c>
      <c r="J392" s="5" t="s">
        <v>40</v>
      </c>
      <c r="K392" s="5">
        <v>1003275622</v>
      </c>
      <c r="L392" s="5">
        <v>3218847746</v>
      </c>
      <c r="M392" s="5" t="s">
        <v>41</v>
      </c>
    </row>
    <row r="393" spans="1:13" ht="15.75" x14ac:dyDescent="0.25">
      <c r="A393" s="3">
        <v>6971</v>
      </c>
      <c r="B393" s="3">
        <v>41090</v>
      </c>
      <c r="C393" s="3" t="s">
        <v>849</v>
      </c>
      <c r="D393" s="3" t="s">
        <v>850</v>
      </c>
      <c r="E393" s="4">
        <v>6981</v>
      </c>
      <c r="F393" s="3" t="s">
        <v>47</v>
      </c>
      <c r="G393" s="3" t="s">
        <v>16</v>
      </c>
      <c r="H393" s="3" t="str">
        <f>VLOOKUP(B393,'[1]Select territorios'!$C:$L,10,0)</f>
        <v>9.6601</v>
      </c>
      <c r="I393" s="3" t="str">
        <f>VLOOKUP(B393,'[1]Select territorios'!$C:$M,11,0)</f>
        <v>-73.7493</v>
      </c>
      <c r="J393" s="5" t="s">
        <v>48</v>
      </c>
      <c r="K393" s="5">
        <v>1064795379</v>
      </c>
      <c r="L393" s="5">
        <v>3104688587</v>
      </c>
      <c r="M393" s="5" t="s">
        <v>49</v>
      </c>
    </row>
    <row r="394" spans="1:13" ht="15.75" x14ac:dyDescent="0.25">
      <c r="A394" s="3">
        <v>6971</v>
      </c>
      <c r="B394" s="3">
        <v>42462</v>
      </c>
      <c r="C394" s="3" t="s">
        <v>851</v>
      </c>
      <c r="D394" s="3" t="s">
        <v>852</v>
      </c>
      <c r="E394" s="4">
        <v>8552</v>
      </c>
      <c r="F394" s="3" t="s">
        <v>30</v>
      </c>
      <c r="G394" s="3" t="s">
        <v>16</v>
      </c>
      <c r="H394" s="3" t="str">
        <f>VLOOKUP(B394,'[1]Select territorios'!$C:$L,10,0)</f>
        <v>10.458354</v>
      </c>
      <c r="I394" s="3" t="str">
        <f>VLOOKUP(B394,'[1]Select territorios'!$C:$M,11,0)</f>
        <v>-73.258277</v>
      </c>
      <c r="J394" s="5" t="s">
        <v>17</v>
      </c>
      <c r="K394" s="5">
        <v>15173890</v>
      </c>
      <c r="L394" s="5">
        <v>3002039991</v>
      </c>
      <c r="M394" s="5" t="s">
        <v>18</v>
      </c>
    </row>
    <row r="395" spans="1:13" ht="15.75" x14ac:dyDescent="0.25">
      <c r="A395" s="3">
        <v>6971</v>
      </c>
      <c r="B395" s="3">
        <v>42479</v>
      </c>
      <c r="C395" s="3" t="s">
        <v>853</v>
      </c>
      <c r="D395" s="3" t="s">
        <v>854</v>
      </c>
      <c r="E395" s="4">
        <v>8558</v>
      </c>
      <c r="F395" s="3" t="s">
        <v>62</v>
      </c>
      <c r="G395" s="3" t="s">
        <v>16</v>
      </c>
      <c r="H395" s="3" t="str">
        <f>VLOOKUP(B395,'[1]Select territorios'!$C:$L,10,0)</f>
        <v>10.4719</v>
      </c>
      <c r="I395" s="3" t="str">
        <f>VLOOKUP(B395,'[1]Select territorios'!$C:$M,11,0)</f>
        <v>-73.2725</v>
      </c>
      <c r="J395" s="5" t="s">
        <v>23</v>
      </c>
      <c r="K395" s="5">
        <v>1065600058</v>
      </c>
      <c r="L395" s="5">
        <v>3123009293</v>
      </c>
      <c r="M395" s="5" t="s">
        <v>24</v>
      </c>
    </row>
    <row r="396" spans="1:13" ht="15.75" x14ac:dyDescent="0.25">
      <c r="A396" s="3">
        <v>6971</v>
      </c>
      <c r="B396" s="3">
        <v>42495</v>
      </c>
      <c r="C396" s="3" t="s">
        <v>855</v>
      </c>
      <c r="D396" s="3" t="s">
        <v>856</v>
      </c>
      <c r="E396" s="4">
        <v>20329</v>
      </c>
      <c r="F396" s="3" t="s">
        <v>152</v>
      </c>
      <c r="G396" s="3" t="s">
        <v>27</v>
      </c>
      <c r="H396" s="3" t="str">
        <f>VLOOKUP(B396,'[1]Select territorios'!$C:$L,10,0)</f>
        <v>9.83396</v>
      </c>
      <c r="I396" s="3" t="str">
        <f>VLOOKUP(B396,'[1]Select territorios'!$C:$M,11,0)</f>
        <v>-73.26162</v>
      </c>
      <c r="J396" s="5" t="s">
        <v>58</v>
      </c>
      <c r="K396" s="5">
        <v>1193146338</v>
      </c>
      <c r="L396" s="5">
        <v>3202114923</v>
      </c>
      <c r="M396" s="5" t="s">
        <v>59</v>
      </c>
    </row>
    <row r="397" spans="1:13" ht="15.75" x14ac:dyDescent="0.25">
      <c r="A397" s="3">
        <v>6971</v>
      </c>
      <c r="B397" s="3">
        <v>42506</v>
      </c>
      <c r="C397" s="3" t="s">
        <v>857</v>
      </c>
      <c r="D397" s="3" t="s">
        <v>858</v>
      </c>
      <c r="E397" s="4">
        <v>18935</v>
      </c>
      <c r="F397" s="3" t="s">
        <v>44</v>
      </c>
      <c r="G397" s="3" t="s">
        <v>16</v>
      </c>
      <c r="H397" s="3" t="str">
        <f>VLOOKUP(B397,'[1]Select territorios'!$C:$L,10,0)</f>
        <v>10.4567</v>
      </c>
      <c r="I397" s="3" t="str">
        <f>VLOOKUP(B397,'[1]Select territorios'!$C:$M,11,0)</f>
        <v>-73.2545</v>
      </c>
      <c r="J397" s="5" t="s">
        <v>40</v>
      </c>
      <c r="K397" s="5">
        <v>1003275622</v>
      </c>
      <c r="L397" s="5">
        <v>3218847746</v>
      </c>
      <c r="M397" s="5" t="s">
        <v>41</v>
      </c>
    </row>
    <row r="398" spans="1:13" ht="15.75" x14ac:dyDescent="0.25">
      <c r="A398" s="3">
        <v>6971</v>
      </c>
      <c r="B398" s="3">
        <v>42567</v>
      </c>
      <c r="C398" s="3" t="s">
        <v>859</v>
      </c>
      <c r="D398" s="3" t="s">
        <v>860</v>
      </c>
      <c r="E398" s="4">
        <v>6979</v>
      </c>
      <c r="F398" s="3" t="s">
        <v>57</v>
      </c>
      <c r="G398" s="3" t="s">
        <v>631</v>
      </c>
      <c r="H398" s="3" t="str">
        <f>VLOOKUP(B398,'[1]Select territorios'!$C:$L,10,0)</f>
        <v>9.248742</v>
      </c>
      <c r="I398" s="3" t="str">
        <f>VLOOKUP(B398,'[1]Select territorios'!$C:$M,11,0)</f>
        <v>-73.616698</v>
      </c>
      <c r="J398" s="5" t="s">
        <v>58</v>
      </c>
      <c r="K398" s="5">
        <v>1193146338</v>
      </c>
      <c r="L398" s="5">
        <v>3202114923</v>
      </c>
      <c r="M398" s="5" t="s">
        <v>59</v>
      </c>
    </row>
    <row r="399" spans="1:13" ht="15.75" x14ac:dyDescent="0.25">
      <c r="A399" s="3">
        <v>6971</v>
      </c>
      <c r="B399" s="3">
        <v>42455</v>
      </c>
      <c r="C399" s="3" t="s">
        <v>861</v>
      </c>
      <c r="D399" s="3" t="s">
        <v>862</v>
      </c>
      <c r="E399" s="4">
        <v>6974</v>
      </c>
      <c r="F399" s="3" t="s">
        <v>123</v>
      </c>
      <c r="G399" s="3" t="s">
        <v>27</v>
      </c>
      <c r="H399" s="3" t="str">
        <f>VLOOKUP(B399,'[1]Select territorios'!$C:$L,10,0)</f>
        <v>9.70479</v>
      </c>
      <c r="I399" s="3" t="str">
        <f>VLOOKUP(B399,'[1]Select territorios'!$C:$M,11,0)</f>
        <v>-73.27475</v>
      </c>
      <c r="J399" s="5" t="s">
        <v>58</v>
      </c>
      <c r="K399" s="5">
        <v>1193146338</v>
      </c>
      <c r="L399" s="5">
        <v>3202114923</v>
      </c>
      <c r="M399" s="5" t="s">
        <v>59</v>
      </c>
    </row>
    <row r="400" spans="1:13" ht="15.75" x14ac:dyDescent="0.25">
      <c r="A400" s="3">
        <v>6971</v>
      </c>
      <c r="B400" s="3">
        <v>42454</v>
      </c>
      <c r="C400" s="3" t="s">
        <v>863</v>
      </c>
      <c r="D400" s="3" t="s">
        <v>864</v>
      </c>
      <c r="E400" s="4">
        <v>45388</v>
      </c>
      <c r="F400" s="3" t="s">
        <v>196</v>
      </c>
      <c r="G400" s="3" t="s">
        <v>27</v>
      </c>
      <c r="H400" s="3" t="str">
        <f>VLOOKUP(B400,'[1]Select territorios'!$C:$L,10,0)</f>
        <v>9.9718</v>
      </c>
      <c r="I400" s="3" t="str">
        <f>VLOOKUP(B400,'[1]Select territorios'!$C:$M,11,0)</f>
        <v>-73.8903</v>
      </c>
      <c r="J400" s="5" t="s">
        <v>48</v>
      </c>
      <c r="K400" s="5">
        <v>1064795379</v>
      </c>
      <c r="L400" s="5">
        <v>3104688587</v>
      </c>
      <c r="M400" s="5" t="s">
        <v>49</v>
      </c>
    </row>
    <row r="401" spans="1:13" ht="15.75" x14ac:dyDescent="0.25">
      <c r="A401" s="3">
        <v>6971</v>
      </c>
      <c r="B401" s="3">
        <v>42565</v>
      </c>
      <c r="C401" s="3" t="s">
        <v>865</v>
      </c>
      <c r="D401" s="3" t="s">
        <v>866</v>
      </c>
      <c r="E401" s="4">
        <v>6985</v>
      </c>
      <c r="F401" s="3" t="s">
        <v>101</v>
      </c>
      <c r="G401" s="3" t="s">
        <v>631</v>
      </c>
      <c r="H401" s="3" t="str">
        <f>VLOOKUP(B401,'[1]Select territorios'!$C:$L,10,0)</f>
        <v>9.5655</v>
      </c>
      <c r="I401" s="3" t="str">
        <f>VLOOKUP(B401,'[1]Select territorios'!$C:$M,11,0)</f>
        <v>-73.3316</v>
      </c>
      <c r="J401" s="5" t="s">
        <v>58</v>
      </c>
      <c r="K401" s="5">
        <v>1193146338</v>
      </c>
      <c r="L401" s="5">
        <v>3202114923</v>
      </c>
      <c r="M401" s="5" t="s">
        <v>59</v>
      </c>
    </row>
    <row r="402" spans="1:13" ht="15.75" x14ac:dyDescent="0.25">
      <c r="A402" s="3">
        <v>6971</v>
      </c>
      <c r="B402" s="3">
        <v>42533</v>
      </c>
      <c r="C402" s="3" t="s">
        <v>867</v>
      </c>
      <c r="D402" s="3" t="s">
        <v>868</v>
      </c>
      <c r="E402" s="4">
        <v>8561</v>
      </c>
      <c r="F402" s="3" t="s">
        <v>168</v>
      </c>
      <c r="G402" s="3" t="s">
        <v>27</v>
      </c>
      <c r="H402" s="3" t="str">
        <f>VLOOKUP(B402,'[1]Select territorios'!$C:$L,10,0)</f>
        <v>8.302848</v>
      </c>
      <c r="I402" s="3" t="str">
        <f>VLOOKUP(B402,'[1]Select territorios'!$C:$M,11,0)</f>
        <v>-73.619421</v>
      </c>
      <c r="J402" s="5" t="s">
        <v>107</v>
      </c>
      <c r="K402" s="5">
        <v>1005281494</v>
      </c>
      <c r="L402" s="5">
        <v>3158541035</v>
      </c>
      <c r="M402" s="5" t="s">
        <v>108</v>
      </c>
    </row>
    <row r="403" spans="1:13" ht="15.75" x14ac:dyDescent="0.25">
      <c r="A403" s="3">
        <v>6971</v>
      </c>
      <c r="B403" s="3">
        <v>42605</v>
      </c>
      <c r="C403" s="3" t="s">
        <v>869</v>
      </c>
      <c r="D403" s="3" t="s">
        <v>870</v>
      </c>
      <c r="E403" s="4">
        <v>6979</v>
      </c>
      <c r="F403" s="3" t="s">
        <v>57</v>
      </c>
      <c r="G403" s="3" t="s">
        <v>16</v>
      </c>
      <c r="H403" s="3" t="str">
        <f>VLOOKUP(B403,'[1]Select territorios'!$C:$L,10,0)</f>
        <v>9.199072</v>
      </c>
      <c r="I403" s="3" t="str">
        <f>VLOOKUP(B403,'[1]Select territorios'!$C:$M,11,0)</f>
        <v>-73.528457</v>
      </c>
      <c r="J403" s="5" t="s">
        <v>58</v>
      </c>
      <c r="K403" s="5">
        <v>1193146338</v>
      </c>
      <c r="L403" s="5">
        <v>3202114923</v>
      </c>
      <c r="M403" s="5" t="s">
        <v>59</v>
      </c>
    </row>
    <row r="404" spans="1:13" ht="15.75" x14ac:dyDescent="0.25">
      <c r="A404" s="3">
        <v>6971</v>
      </c>
      <c r="B404" s="3">
        <v>42394</v>
      </c>
      <c r="C404" s="3" t="s">
        <v>871</v>
      </c>
      <c r="D404" s="3" t="s">
        <v>872</v>
      </c>
      <c r="E404" s="4">
        <v>6986</v>
      </c>
      <c r="F404" s="3" t="s">
        <v>294</v>
      </c>
      <c r="G404" s="3" t="s">
        <v>16</v>
      </c>
      <c r="H404" s="3" t="str">
        <f>VLOOKUP(B404,'[1]Select territorios'!$C:$L,10,0)</f>
        <v>9.6207</v>
      </c>
      <c r="I404" s="3" t="str">
        <f>VLOOKUP(B404,'[1]Select territorios'!$C:$M,11,0)</f>
        <v>-73.5937</v>
      </c>
      <c r="J404" s="5" t="s">
        <v>48</v>
      </c>
      <c r="K404" s="5">
        <v>1064795379</v>
      </c>
      <c r="L404" s="5">
        <v>3104688587</v>
      </c>
      <c r="M404" s="5" t="s">
        <v>49</v>
      </c>
    </row>
    <row r="405" spans="1:13" ht="15.75" x14ac:dyDescent="0.25">
      <c r="A405" s="3">
        <v>6971</v>
      </c>
      <c r="B405" s="3">
        <v>42550</v>
      </c>
      <c r="C405" s="3" t="s">
        <v>873</v>
      </c>
      <c r="D405" s="3" t="s">
        <v>874</v>
      </c>
      <c r="E405" s="4">
        <v>7001</v>
      </c>
      <c r="F405" s="3" t="s">
        <v>55</v>
      </c>
      <c r="G405" s="3" t="s">
        <v>27</v>
      </c>
      <c r="H405" s="3" t="str">
        <f>VLOOKUP(B405,'[1]Select territorios'!$C:$L,10,0)</f>
        <v>10.4726</v>
      </c>
      <c r="I405" s="3" t="str">
        <f>VLOOKUP(B405,'[1]Select territorios'!$C:$M,11,0)</f>
        <v>-73.2489</v>
      </c>
      <c r="J405" s="5" t="s">
        <v>23</v>
      </c>
      <c r="K405" s="5">
        <v>1065600058</v>
      </c>
      <c r="L405" s="5">
        <v>3123009293</v>
      </c>
      <c r="M405" s="5" t="s">
        <v>24</v>
      </c>
    </row>
    <row r="406" spans="1:13" ht="15.75" x14ac:dyDescent="0.25">
      <c r="A406" s="3">
        <v>6971</v>
      </c>
      <c r="B406" s="3">
        <v>42515</v>
      </c>
      <c r="C406" s="3" t="s">
        <v>875</v>
      </c>
      <c r="D406" s="3" t="s">
        <v>876</v>
      </c>
      <c r="E406" s="4">
        <v>18935</v>
      </c>
      <c r="F406" s="3" t="s">
        <v>44</v>
      </c>
      <c r="G406" s="3" t="s">
        <v>16</v>
      </c>
      <c r="H406" s="3" t="str">
        <f>VLOOKUP(B406,'[1]Select territorios'!$C:$L,10,0)</f>
        <v>10.458</v>
      </c>
      <c r="I406" s="3" t="str">
        <f>VLOOKUP(B406,'[1]Select territorios'!$C:$M,11,0)</f>
        <v>-73.2517</v>
      </c>
      <c r="J406" s="5" t="s">
        <v>40</v>
      </c>
      <c r="K406" s="5">
        <v>1003275622</v>
      </c>
      <c r="L406" s="5">
        <v>3218847746</v>
      </c>
      <c r="M406" s="5" t="s">
        <v>41</v>
      </c>
    </row>
    <row r="407" spans="1:13" ht="15.75" x14ac:dyDescent="0.25">
      <c r="A407" s="3">
        <v>6971</v>
      </c>
      <c r="B407" s="3">
        <v>42561</v>
      </c>
      <c r="C407" s="3" t="s">
        <v>877</v>
      </c>
      <c r="D407" s="3" t="s">
        <v>878</v>
      </c>
      <c r="E407" s="4">
        <v>17176</v>
      </c>
      <c r="F407" s="3" t="s">
        <v>189</v>
      </c>
      <c r="G407" s="3" t="s">
        <v>27</v>
      </c>
      <c r="H407" s="3" t="str">
        <f>VLOOKUP(B407,'[1]Select territorios'!$C:$L,10,0)</f>
        <v>10.45378</v>
      </c>
      <c r="I407" s="3" t="str">
        <f>VLOOKUP(B407,'[1]Select territorios'!$C:$M,11,0)</f>
        <v>-73.22936</v>
      </c>
      <c r="J407" s="5" t="s">
        <v>40</v>
      </c>
      <c r="K407" s="5">
        <v>1003275622</v>
      </c>
      <c r="L407" s="5">
        <v>3218847746</v>
      </c>
      <c r="M407" s="5" t="s">
        <v>41</v>
      </c>
    </row>
    <row r="408" spans="1:13" ht="15.75" x14ac:dyDescent="0.25">
      <c r="A408" s="3">
        <v>6971</v>
      </c>
      <c r="B408" s="3">
        <v>42615</v>
      </c>
      <c r="C408" s="3" t="s">
        <v>879</v>
      </c>
      <c r="D408" s="3" t="s">
        <v>880</v>
      </c>
      <c r="E408" s="4">
        <v>8554</v>
      </c>
      <c r="F408" s="3" t="s">
        <v>81</v>
      </c>
      <c r="G408" s="3" t="s">
        <v>27</v>
      </c>
      <c r="H408" s="3" t="str">
        <f>VLOOKUP(B408,'[1]Select territorios'!$C:$L,10,0)</f>
        <v>10.4559</v>
      </c>
      <c r="I408" s="3" t="str">
        <f>VLOOKUP(B408,'[1]Select territorios'!$C:$M,11,0)</f>
        <v>-73.2441</v>
      </c>
      <c r="J408" s="5" t="s">
        <v>40</v>
      </c>
      <c r="K408" s="5">
        <v>1003275622</v>
      </c>
      <c r="L408" s="5">
        <v>3218847746</v>
      </c>
      <c r="M408" s="5" t="s">
        <v>41</v>
      </c>
    </row>
    <row r="409" spans="1:13" ht="15.75" x14ac:dyDescent="0.25">
      <c r="A409" s="3">
        <v>6971</v>
      </c>
      <c r="B409" s="3">
        <v>42563</v>
      </c>
      <c r="C409" s="3" t="s">
        <v>881</v>
      </c>
      <c r="D409" s="3" t="s">
        <v>882</v>
      </c>
      <c r="E409" s="4">
        <v>9206</v>
      </c>
      <c r="F409" s="3" t="s">
        <v>33</v>
      </c>
      <c r="G409" s="3" t="s">
        <v>16</v>
      </c>
      <c r="H409" s="3" t="str">
        <f>VLOOKUP(B409,'[1]Select territorios'!$C:$L,10,0)</f>
        <v>10.45059233</v>
      </c>
      <c r="I409" s="3" t="str">
        <f>VLOOKUP(B409,'[1]Select territorios'!$C:$M,11,0)</f>
        <v>-73.26738897</v>
      </c>
      <c r="J409" s="5" t="s">
        <v>17</v>
      </c>
      <c r="K409" s="5">
        <v>15173890</v>
      </c>
      <c r="L409" s="5">
        <v>3002039991</v>
      </c>
      <c r="M409" s="5" t="s">
        <v>18</v>
      </c>
    </row>
    <row r="410" spans="1:13" ht="15.75" x14ac:dyDescent="0.25">
      <c r="A410" s="3">
        <v>6971</v>
      </c>
      <c r="B410" s="3">
        <v>42564</v>
      </c>
      <c r="C410" s="3" t="s">
        <v>883</v>
      </c>
      <c r="D410" s="3" t="s">
        <v>884</v>
      </c>
      <c r="E410" s="4">
        <v>8561</v>
      </c>
      <c r="F410" s="3" t="s">
        <v>168</v>
      </c>
      <c r="G410" s="3" t="s">
        <v>27</v>
      </c>
      <c r="H410" s="3" t="str">
        <f>VLOOKUP(B410,'[1]Select territorios'!$C:$L,10,0)</f>
        <v>8.131557</v>
      </c>
      <c r="I410" s="3" t="str">
        <f>VLOOKUP(B410,'[1]Select territorios'!$C:$M,11,0)</f>
        <v>-73.76856</v>
      </c>
      <c r="J410" s="5" t="s">
        <v>107</v>
      </c>
      <c r="K410" s="5">
        <v>1005281494</v>
      </c>
      <c r="L410" s="5">
        <v>3158541035</v>
      </c>
      <c r="M410" s="5" t="s">
        <v>108</v>
      </c>
    </row>
    <row r="411" spans="1:13" ht="15.75" x14ac:dyDescent="0.25">
      <c r="A411" s="3">
        <v>6971</v>
      </c>
      <c r="B411" s="3">
        <v>42441</v>
      </c>
      <c r="C411" s="3" t="s">
        <v>885</v>
      </c>
      <c r="D411" s="3" t="s">
        <v>886</v>
      </c>
      <c r="E411" s="4">
        <v>45388</v>
      </c>
      <c r="F411" s="3" t="s">
        <v>196</v>
      </c>
      <c r="G411" s="3" t="s">
        <v>16</v>
      </c>
      <c r="H411" s="3" t="str">
        <f>VLOOKUP(B411,'[1]Select territorios'!$C:$L,10,0)</f>
        <v>9.965</v>
      </c>
      <c r="I411" s="3" t="str">
        <f>VLOOKUP(B411,'[1]Select territorios'!$C:$M,11,0)</f>
        <v>-73.8845</v>
      </c>
      <c r="J411" s="5" t="s">
        <v>48</v>
      </c>
      <c r="K411" s="5">
        <v>1064795379</v>
      </c>
      <c r="L411" s="5">
        <v>3104688587</v>
      </c>
      <c r="M411" s="5" t="s">
        <v>49</v>
      </c>
    </row>
    <row r="412" spans="1:13" ht="15.75" x14ac:dyDescent="0.25">
      <c r="A412" s="3">
        <v>6971</v>
      </c>
      <c r="B412" s="3">
        <v>43317</v>
      </c>
      <c r="C412" s="3" t="s">
        <v>887</v>
      </c>
      <c r="D412" s="3" t="s">
        <v>888</v>
      </c>
      <c r="E412" s="4">
        <v>9206</v>
      </c>
      <c r="F412" s="3" t="s">
        <v>33</v>
      </c>
      <c r="G412" s="3" t="s">
        <v>16</v>
      </c>
      <c r="H412" s="3" t="str">
        <f>VLOOKUP(B412,'[1]Select territorios'!$C:$L,10,0)</f>
        <v>10.445597</v>
      </c>
      <c r="I412" s="3" t="str">
        <f>VLOOKUP(B412,'[1]Select territorios'!$C:$M,11,0)</f>
        <v>-73.280567</v>
      </c>
      <c r="J412" s="5" t="s">
        <v>17</v>
      </c>
      <c r="K412" s="5">
        <v>15173890</v>
      </c>
      <c r="L412" s="5">
        <v>3002039991</v>
      </c>
      <c r="M412" s="5" t="s">
        <v>18</v>
      </c>
    </row>
    <row r="413" spans="1:13" ht="15.75" x14ac:dyDescent="0.25">
      <c r="A413" s="3">
        <v>6971</v>
      </c>
      <c r="B413" s="3">
        <v>42521</v>
      </c>
      <c r="C413" s="3" t="s">
        <v>889</v>
      </c>
      <c r="D413" s="3" t="s">
        <v>890</v>
      </c>
      <c r="E413" s="4">
        <v>8560</v>
      </c>
      <c r="F413" s="3" t="s">
        <v>161</v>
      </c>
      <c r="G413" s="3" t="s">
        <v>16</v>
      </c>
      <c r="H413" s="3" t="str">
        <f>VLOOKUP(B413,'[1]Select territorios'!$C:$L,10,0)</f>
        <v>8.3053707</v>
      </c>
      <c r="I413" s="3" t="str">
        <f>VLOOKUP(B413,'[1]Select territorios'!$C:$M,11,0)</f>
        <v>-73.6054656</v>
      </c>
      <c r="J413" s="5" t="s">
        <v>107</v>
      </c>
      <c r="K413" s="5">
        <v>1005281494</v>
      </c>
      <c r="L413" s="5">
        <v>3158541035</v>
      </c>
      <c r="M413" s="5" t="s">
        <v>108</v>
      </c>
    </row>
    <row r="414" spans="1:13" ht="15.75" x14ac:dyDescent="0.25">
      <c r="A414" s="3">
        <v>6971</v>
      </c>
      <c r="B414" s="3">
        <v>42520</v>
      </c>
      <c r="C414" s="3" t="s">
        <v>891</v>
      </c>
      <c r="D414" s="3" t="s">
        <v>892</v>
      </c>
      <c r="E414" s="4">
        <v>8560</v>
      </c>
      <c r="F414" s="3" t="s">
        <v>161</v>
      </c>
      <c r="G414" s="3" t="s">
        <v>16</v>
      </c>
      <c r="H414" s="3" t="str">
        <f>VLOOKUP(B414,'[1]Select territorios'!$C:$L,10,0)</f>
        <v>8.320614</v>
      </c>
      <c r="I414" s="3" t="str">
        <f>VLOOKUP(B414,'[1]Select territorios'!$C:$M,11,0)</f>
        <v>-73.59554</v>
      </c>
      <c r="J414" s="5" t="s">
        <v>107</v>
      </c>
      <c r="K414" s="5">
        <v>1005281494</v>
      </c>
      <c r="L414" s="5">
        <v>3158541035</v>
      </c>
      <c r="M414" s="5" t="s">
        <v>108</v>
      </c>
    </row>
    <row r="415" spans="1:13" ht="15.75" x14ac:dyDescent="0.25">
      <c r="A415" s="3">
        <v>6971</v>
      </c>
      <c r="B415" s="3">
        <v>43389</v>
      </c>
      <c r="C415" s="3" t="s">
        <v>893</v>
      </c>
      <c r="D415" s="3" t="s">
        <v>894</v>
      </c>
      <c r="E415" s="4">
        <v>8554</v>
      </c>
      <c r="F415" s="3" t="s">
        <v>81</v>
      </c>
      <c r="G415" s="3" t="s">
        <v>27</v>
      </c>
      <c r="H415" s="3" t="str">
        <f>VLOOKUP(B415,'[1]Select territorios'!$C:$L,10,0)</f>
        <v>10.4387</v>
      </c>
      <c r="I415" s="3" t="str">
        <f>VLOOKUP(B415,'[1]Select territorios'!$C:$M,11,0)</f>
        <v>-73.2458</v>
      </c>
      <c r="J415" s="5" t="s">
        <v>40</v>
      </c>
      <c r="K415" s="5">
        <v>1003275622</v>
      </c>
      <c r="L415" s="5">
        <v>3218847746</v>
      </c>
      <c r="M415" s="5" t="s">
        <v>41</v>
      </c>
    </row>
    <row r="416" spans="1:13" ht="15.75" x14ac:dyDescent="0.25">
      <c r="A416" s="3">
        <v>6971</v>
      </c>
      <c r="B416" s="3">
        <v>42480</v>
      </c>
      <c r="C416" s="3" t="s">
        <v>895</v>
      </c>
      <c r="D416" s="3" t="s">
        <v>896</v>
      </c>
      <c r="E416" s="4">
        <v>8562</v>
      </c>
      <c r="F416" s="3" t="s">
        <v>213</v>
      </c>
      <c r="G416" s="3" t="s">
        <v>16</v>
      </c>
      <c r="H416" s="3" t="str">
        <f>VLOOKUP(B416,'[1]Select territorios'!$C:$L,10,0)</f>
        <v>8.292708</v>
      </c>
      <c r="I416" s="3" t="str">
        <f>VLOOKUP(B416,'[1]Select territorios'!$C:$M,11,0)</f>
        <v>-73.629297</v>
      </c>
      <c r="J416" s="5" t="s">
        <v>71</v>
      </c>
      <c r="K416" s="5">
        <v>1065818056</v>
      </c>
      <c r="L416" s="5">
        <v>3145467066</v>
      </c>
      <c r="M416" s="5" t="s">
        <v>72</v>
      </c>
    </row>
    <row r="417" spans="1:13" ht="15.75" x14ac:dyDescent="0.25">
      <c r="A417" s="3">
        <v>6971</v>
      </c>
      <c r="B417" s="3">
        <v>43355</v>
      </c>
      <c r="C417" s="3" t="s">
        <v>897</v>
      </c>
      <c r="D417" s="3" t="s">
        <v>898</v>
      </c>
      <c r="E417" s="4">
        <v>6975</v>
      </c>
      <c r="F417" s="3" t="s">
        <v>78</v>
      </c>
      <c r="G417" s="3" t="s">
        <v>16</v>
      </c>
      <c r="H417" s="3" t="str">
        <f>VLOOKUP(B417,'[1]Select territorios'!$C:$L,10,0)</f>
        <v>9.97800034</v>
      </c>
      <c r="I417" s="3" t="str">
        <f>VLOOKUP(B417,'[1]Select territorios'!$C:$M,11,0)</f>
        <v>-73.8893918</v>
      </c>
      <c r="J417" s="5" t="s">
        <v>48</v>
      </c>
      <c r="K417" s="5">
        <v>1064795379</v>
      </c>
      <c r="L417" s="5">
        <v>3104688587</v>
      </c>
      <c r="M417" s="5" t="s">
        <v>49</v>
      </c>
    </row>
    <row r="418" spans="1:13" ht="15.75" x14ac:dyDescent="0.25">
      <c r="A418" s="3">
        <v>6971</v>
      </c>
      <c r="B418" s="3">
        <v>43357</v>
      </c>
      <c r="C418" s="3" t="s">
        <v>899</v>
      </c>
      <c r="D418" s="3" t="s">
        <v>900</v>
      </c>
      <c r="E418" s="4">
        <v>8553</v>
      </c>
      <c r="F418" s="3" t="s">
        <v>15</v>
      </c>
      <c r="G418" s="3" t="s">
        <v>27</v>
      </c>
      <c r="H418" s="3" t="str">
        <f>VLOOKUP(B418,'[1]Select territorios'!$C:$L,10,0)</f>
        <v>10.481995</v>
      </c>
      <c r="I418" s="3" t="str">
        <f>VLOOKUP(B418,'[1]Select territorios'!$C:$M,11,0)</f>
        <v>-73.282746</v>
      </c>
      <c r="J418" s="5" t="s">
        <v>17</v>
      </c>
      <c r="K418" s="5">
        <v>15173890</v>
      </c>
      <c r="L418" s="5">
        <v>3002039991</v>
      </c>
      <c r="M418" s="5" t="s">
        <v>18</v>
      </c>
    </row>
    <row r="419" spans="1:13" ht="15.75" x14ac:dyDescent="0.25">
      <c r="A419" s="3">
        <v>6971</v>
      </c>
      <c r="B419" s="3">
        <v>42440</v>
      </c>
      <c r="C419" s="3" t="s">
        <v>901</v>
      </c>
      <c r="D419" s="3" t="s">
        <v>902</v>
      </c>
      <c r="E419" s="4">
        <v>6986</v>
      </c>
      <c r="F419" s="3" t="s">
        <v>294</v>
      </c>
      <c r="G419" s="3" t="s">
        <v>16</v>
      </c>
      <c r="H419" s="3" t="str">
        <f>VLOOKUP(B419,'[1]Select territorios'!$C:$L,10,0)</f>
        <v>9.6172</v>
      </c>
      <c r="I419" s="3" t="str">
        <f>VLOOKUP(B419,'[1]Select territorios'!$C:$M,11,0)</f>
        <v>-73.6009</v>
      </c>
      <c r="J419" s="5" t="s">
        <v>48</v>
      </c>
      <c r="K419" s="5">
        <v>1064795379</v>
      </c>
      <c r="L419" s="5">
        <v>3104688587</v>
      </c>
      <c r="M419" s="5" t="s">
        <v>49</v>
      </c>
    </row>
    <row r="420" spans="1:13" ht="15.75" x14ac:dyDescent="0.25">
      <c r="A420" s="3">
        <v>6971</v>
      </c>
      <c r="B420" s="3">
        <v>42622</v>
      </c>
      <c r="C420" s="3" t="s">
        <v>903</v>
      </c>
      <c r="D420" s="3" t="s">
        <v>904</v>
      </c>
      <c r="E420" s="4">
        <v>8554</v>
      </c>
      <c r="F420" s="3" t="s">
        <v>81</v>
      </c>
      <c r="G420" s="3" t="s">
        <v>16</v>
      </c>
      <c r="H420" s="3" t="str">
        <f>VLOOKUP(B420,'[1]Select territorios'!$C:$L,10,0)</f>
        <v>10.4582</v>
      </c>
      <c r="I420" s="3" t="str">
        <f>VLOOKUP(B420,'[1]Select territorios'!$C:$M,11,0)</f>
        <v>-73.2442</v>
      </c>
      <c r="J420" s="5" t="s">
        <v>40</v>
      </c>
      <c r="K420" s="5">
        <v>1003275622</v>
      </c>
      <c r="L420" s="5">
        <v>3218847746</v>
      </c>
      <c r="M420" s="5" t="s">
        <v>41</v>
      </c>
    </row>
    <row r="421" spans="1:13" ht="15.75" x14ac:dyDescent="0.25">
      <c r="A421" s="3">
        <v>6971</v>
      </c>
      <c r="B421" s="3">
        <v>43411</v>
      </c>
      <c r="C421" s="3" t="s">
        <v>905</v>
      </c>
      <c r="D421" s="3" t="s">
        <v>906</v>
      </c>
      <c r="E421" s="4">
        <v>20329</v>
      </c>
      <c r="F421" s="3" t="s">
        <v>152</v>
      </c>
      <c r="G421" s="3" t="s">
        <v>27</v>
      </c>
      <c r="H421" s="3" t="str">
        <f>VLOOKUP(B421,'[1]Select territorios'!$C:$L,10,0)</f>
        <v>9.828981</v>
      </c>
      <c r="I421" s="3" t="str">
        <f>VLOOKUP(B421,'[1]Select territorios'!$C:$M,11,0)</f>
        <v>-73.259678</v>
      </c>
      <c r="J421" s="5" t="s">
        <v>58</v>
      </c>
      <c r="K421" s="5">
        <v>1193146338</v>
      </c>
      <c r="L421" s="5">
        <v>3202114923</v>
      </c>
      <c r="M421" s="5" t="s">
        <v>59</v>
      </c>
    </row>
    <row r="422" spans="1:13" ht="15.75" x14ac:dyDescent="0.25">
      <c r="A422" s="3">
        <v>6971</v>
      </c>
      <c r="B422" s="3">
        <v>43388</v>
      </c>
      <c r="C422" s="3" t="s">
        <v>907</v>
      </c>
      <c r="D422" s="3" t="s">
        <v>908</v>
      </c>
      <c r="E422" s="4">
        <v>8554</v>
      </c>
      <c r="F422" s="3" t="s">
        <v>81</v>
      </c>
      <c r="G422" s="3" t="s">
        <v>27</v>
      </c>
      <c r="H422" s="3" t="str">
        <f>VLOOKUP(B422,'[1]Select territorios'!$C:$L,10,0)</f>
        <v>10.4484</v>
      </c>
      <c r="I422" s="3" t="str">
        <f>VLOOKUP(B422,'[1]Select territorios'!$C:$M,11,0)</f>
        <v>-73.2478</v>
      </c>
      <c r="J422" s="5" t="s">
        <v>40</v>
      </c>
      <c r="K422" s="5">
        <v>1003275622</v>
      </c>
      <c r="L422" s="5">
        <v>3218847746</v>
      </c>
      <c r="M422" s="5" t="s">
        <v>41</v>
      </c>
    </row>
    <row r="423" spans="1:13" ht="15.75" x14ac:dyDescent="0.25">
      <c r="A423" s="3">
        <v>6971</v>
      </c>
      <c r="B423" s="3">
        <v>43449</v>
      </c>
      <c r="C423" s="3" t="s">
        <v>909</v>
      </c>
      <c r="D423" s="3" t="s">
        <v>910</v>
      </c>
      <c r="E423" s="4">
        <v>45388</v>
      </c>
      <c r="F423" s="3" t="s">
        <v>196</v>
      </c>
      <c r="G423" s="3" t="s">
        <v>16</v>
      </c>
      <c r="H423" s="3" t="str">
        <f>VLOOKUP(B423,'[1]Select territorios'!$C:$L,10,0)</f>
        <v>9.9719</v>
      </c>
      <c r="I423" s="3" t="str">
        <f>VLOOKUP(B423,'[1]Select territorios'!$C:$M,11,0)</f>
        <v>-73.891</v>
      </c>
      <c r="J423" s="5" t="s">
        <v>48</v>
      </c>
      <c r="K423" s="5">
        <v>1064795379</v>
      </c>
      <c r="L423" s="5">
        <v>3104688587</v>
      </c>
      <c r="M423" s="5" t="s">
        <v>49</v>
      </c>
    </row>
    <row r="424" spans="1:13" ht="15.75" x14ac:dyDescent="0.25">
      <c r="A424" s="3">
        <v>6971</v>
      </c>
      <c r="B424" s="3">
        <v>43527</v>
      </c>
      <c r="C424" s="3" t="s">
        <v>911</v>
      </c>
      <c r="D424" s="3" t="s">
        <v>912</v>
      </c>
      <c r="E424" s="4">
        <v>9206</v>
      </c>
      <c r="F424" s="3" t="s">
        <v>33</v>
      </c>
      <c r="G424" s="3" t="s">
        <v>631</v>
      </c>
      <c r="H424" s="3" t="str">
        <f>VLOOKUP(B424,'[1]Select territorios'!$C:$L,10,0)</f>
        <v>10.453368</v>
      </c>
      <c r="I424" s="3" t="str">
        <f>VLOOKUP(B424,'[1]Select territorios'!$C:$M,11,0)</f>
        <v>-73.265493</v>
      </c>
      <c r="J424" s="5" t="s">
        <v>17</v>
      </c>
      <c r="K424" s="5">
        <v>15173890</v>
      </c>
      <c r="L424" s="5">
        <v>3002039991</v>
      </c>
      <c r="M424" s="5" t="s">
        <v>18</v>
      </c>
    </row>
    <row r="425" spans="1:13" ht="15.75" x14ac:dyDescent="0.25">
      <c r="A425" s="3">
        <v>6971</v>
      </c>
      <c r="B425" s="3">
        <v>43378</v>
      </c>
      <c r="C425" s="3" t="s">
        <v>913</v>
      </c>
      <c r="D425" s="3" t="s">
        <v>914</v>
      </c>
      <c r="E425" s="4">
        <v>6984</v>
      </c>
      <c r="F425" s="3" t="s">
        <v>75</v>
      </c>
      <c r="G425" s="3" t="s">
        <v>27</v>
      </c>
      <c r="H425" s="3" t="str">
        <f>VLOOKUP(B425,'[1]Select territorios'!$C:$L,10,0)</f>
        <v>8.608972</v>
      </c>
      <c r="I425" s="3" t="str">
        <f>VLOOKUP(B425,'[1]Select territorios'!$C:$M,11,0)</f>
        <v>-73.635985</v>
      </c>
      <c r="J425" s="5" t="s">
        <v>71</v>
      </c>
      <c r="K425" s="5">
        <v>1065818056</v>
      </c>
      <c r="L425" s="5">
        <v>3145467066</v>
      </c>
      <c r="M425" s="5" t="s">
        <v>72</v>
      </c>
    </row>
    <row r="426" spans="1:13" ht="15.75" x14ac:dyDescent="0.25">
      <c r="A426" s="3">
        <v>6971</v>
      </c>
      <c r="B426" s="3">
        <v>43354</v>
      </c>
      <c r="C426" s="3" t="s">
        <v>915</v>
      </c>
      <c r="D426" s="3" t="s">
        <v>916</v>
      </c>
      <c r="E426" s="4">
        <v>17176</v>
      </c>
      <c r="F426" s="3" t="s">
        <v>189</v>
      </c>
      <c r="G426" s="3" t="s">
        <v>16</v>
      </c>
      <c r="H426" s="3" t="str">
        <f>VLOOKUP(B426,'[1]Select territorios'!$C:$L,10,0)</f>
        <v>10.4603</v>
      </c>
      <c r="I426" s="3" t="str">
        <f>VLOOKUP(B426,'[1]Select territorios'!$C:$M,11,0)</f>
        <v>-73.243</v>
      </c>
      <c r="J426" s="5" t="s">
        <v>40</v>
      </c>
      <c r="K426" s="5">
        <v>1003275622</v>
      </c>
      <c r="L426" s="5">
        <v>3218847746</v>
      </c>
      <c r="M426" s="5" t="s">
        <v>41</v>
      </c>
    </row>
    <row r="427" spans="1:13" ht="15.75" x14ac:dyDescent="0.25">
      <c r="A427" s="3">
        <v>6971</v>
      </c>
      <c r="B427" s="3">
        <v>43425</v>
      </c>
      <c r="C427" s="3" t="s">
        <v>917</v>
      </c>
      <c r="D427" s="3" t="s">
        <v>918</v>
      </c>
      <c r="E427" s="4">
        <v>18936</v>
      </c>
      <c r="F427" s="3" t="s">
        <v>21</v>
      </c>
      <c r="G427" s="3" t="s">
        <v>16</v>
      </c>
      <c r="H427" s="3" t="str">
        <f>VLOOKUP(B427,'[1]Select territorios'!$C:$L,10,0)</f>
        <v>10.481245</v>
      </c>
      <c r="I427" s="3" t="str">
        <f>VLOOKUP(B427,'[1]Select territorios'!$C:$M,11,0)</f>
        <v>-73.263265</v>
      </c>
      <c r="J427" s="5" t="s">
        <v>23</v>
      </c>
      <c r="K427" s="5">
        <v>1065600058</v>
      </c>
      <c r="L427" s="5">
        <v>3123009293</v>
      </c>
      <c r="M427" s="5" t="s">
        <v>24</v>
      </c>
    </row>
    <row r="428" spans="1:13" ht="15.75" x14ac:dyDescent="0.25">
      <c r="A428" s="3">
        <v>6971</v>
      </c>
      <c r="B428" s="3">
        <v>43501</v>
      </c>
      <c r="C428" s="3" t="s">
        <v>919</v>
      </c>
      <c r="D428" s="3" t="s">
        <v>920</v>
      </c>
      <c r="E428" s="4">
        <v>8562</v>
      </c>
      <c r="F428" s="3" t="s">
        <v>213</v>
      </c>
      <c r="G428" s="3" t="s">
        <v>27</v>
      </c>
      <c r="H428" s="3" t="str">
        <f>VLOOKUP(B428,'[1]Select territorios'!$C:$L,10,0)</f>
        <v>8.300256</v>
      </c>
      <c r="I428" s="3" t="str">
        <f>VLOOKUP(B428,'[1]Select territorios'!$C:$M,11,0)</f>
        <v>-73.620447</v>
      </c>
      <c r="J428" s="5" t="s">
        <v>71</v>
      </c>
      <c r="K428" s="5">
        <v>1065818056</v>
      </c>
      <c r="L428" s="5">
        <v>3145467066</v>
      </c>
      <c r="M428" s="5" t="s">
        <v>72</v>
      </c>
    </row>
    <row r="429" spans="1:13" ht="15.75" x14ac:dyDescent="0.25">
      <c r="A429" s="3">
        <v>6971</v>
      </c>
      <c r="B429" s="3">
        <v>43528</v>
      </c>
      <c r="C429" s="3" t="s">
        <v>921</v>
      </c>
      <c r="D429" s="3" t="s">
        <v>922</v>
      </c>
      <c r="E429" s="4">
        <v>6986</v>
      </c>
      <c r="F429" s="3" t="s">
        <v>294</v>
      </c>
      <c r="G429" s="3" t="s">
        <v>631</v>
      </c>
      <c r="H429" s="3" t="str">
        <f>VLOOKUP(B429,'[1]Select territorios'!$C:$L,10,0)</f>
        <v>9.6084</v>
      </c>
      <c r="I429" s="3" t="str">
        <f>VLOOKUP(B429,'[1]Select territorios'!$C:$M,11,0)</f>
        <v>-73.6122</v>
      </c>
      <c r="J429" s="5" t="s">
        <v>48</v>
      </c>
      <c r="K429" s="5">
        <v>1064795379</v>
      </c>
      <c r="L429" s="5">
        <v>3104688587</v>
      </c>
      <c r="M429" s="5" t="s">
        <v>49</v>
      </c>
    </row>
    <row r="430" spans="1:13" ht="15.75" x14ac:dyDescent="0.25">
      <c r="A430" s="3">
        <v>6971</v>
      </c>
      <c r="B430" s="3">
        <v>43573</v>
      </c>
      <c r="C430" s="3" t="s">
        <v>923</v>
      </c>
      <c r="D430" s="3" t="s">
        <v>924</v>
      </c>
      <c r="E430" s="4">
        <v>8554</v>
      </c>
      <c r="F430" s="3" t="s">
        <v>67</v>
      </c>
      <c r="G430" s="3" t="s">
        <v>631</v>
      </c>
      <c r="H430" s="3" t="str">
        <f>VLOOKUP(B430,'[1]Select territorios'!$C:$L,10,0)</f>
        <v>10.448166</v>
      </c>
      <c r="I430" s="3" t="str">
        <f>VLOOKUP(B430,'[1]Select territorios'!$C:$M,11,0)</f>
        <v>-73.254736</v>
      </c>
      <c r="J430" s="5" t="s">
        <v>40</v>
      </c>
      <c r="K430" s="5">
        <v>1003275622</v>
      </c>
      <c r="L430" s="5">
        <v>3218847746</v>
      </c>
      <c r="M430" s="5" t="s">
        <v>41</v>
      </c>
    </row>
    <row r="431" spans="1:13" ht="15.75" x14ac:dyDescent="0.25">
      <c r="A431" s="3">
        <v>6971</v>
      </c>
      <c r="B431" s="3">
        <v>43481</v>
      </c>
      <c r="C431" s="3" t="s">
        <v>925</v>
      </c>
      <c r="D431" s="3" t="s">
        <v>926</v>
      </c>
      <c r="E431" s="4">
        <v>6990</v>
      </c>
      <c r="F431" s="3" t="s">
        <v>131</v>
      </c>
      <c r="G431" s="3" t="s">
        <v>27</v>
      </c>
      <c r="H431" s="3" t="str">
        <f>VLOOKUP(B431,'[1]Select territorios'!$C:$L,10,0)</f>
        <v>8.957285</v>
      </c>
      <c r="I431" s="3" t="str">
        <f>VLOOKUP(B431,'[1]Select territorios'!$C:$M,11,0)</f>
        <v>-73.631494</v>
      </c>
      <c r="J431" s="5" t="s">
        <v>71</v>
      </c>
      <c r="K431" s="5">
        <v>1065818056</v>
      </c>
      <c r="L431" s="5">
        <v>3145467066</v>
      </c>
      <c r="M431" s="5" t="s">
        <v>72</v>
      </c>
    </row>
    <row r="432" spans="1:13" ht="15.75" x14ac:dyDescent="0.25">
      <c r="A432" s="3">
        <v>6971</v>
      </c>
      <c r="B432" s="3">
        <v>43540</v>
      </c>
      <c r="C432" s="3" t="s">
        <v>927</v>
      </c>
      <c r="D432" s="3" t="s">
        <v>928</v>
      </c>
      <c r="E432" s="4">
        <v>6976</v>
      </c>
      <c r="F432" s="3" t="s">
        <v>96</v>
      </c>
      <c r="G432" s="3" t="s">
        <v>16</v>
      </c>
      <c r="H432" s="3" t="str">
        <f>VLOOKUP(B432,'[1]Select territorios'!$C:$L,10,0)</f>
        <v>9.257595</v>
      </c>
      <c r="I432" s="3" t="str">
        <f>VLOOKUP(B432,'[1]Select territorios'!$C:$M,11,0)</f>
        <v>-73.814755</v>
      </c>
      <c r="J432" s="5" t="s">
        <v>48</v>
      </c>
      <c r="K432" s="5">
        <v>1064795379</v>
      </c>
      <c r="L432" s="5">
        <v>3104688587</v>
      </c>
      <c r="M432" s="5" t="s">
        <v>49</v>
      </c>
    </row>
    <row r="433" spans="1:13" ht="15.75" x14ac:dyDescent="0.25">
      <c r="A433" s="3">
        <v>6971</v>
      </c>
      <c r="B433" s="3">
        <v>43595</v>
      </c>
      <c r="C433" s="3" t="s">
        <v>929</v>
      </c>
      <c r="D433" s="3" t="s">
        <v>930</v>
      </c>
      <c r="E433" s="4">
        <v>8554</v>
      </c>
      <c r="F433" s="3" t="s">
        <v>81</v>
      </c>
      <c r="G433" s="3" t="s">
        <v>27</v>
      </c>
      <c r="H433" s="3" t="str">
        <f>VLOOKUP(B433,'[1]Select territorios'!$C:$L,10,0)</f>
        <v>10.4535</v>
      </c>
      <c r="I433" s="3" t="str">
        <f>VLOOKUP(B433,'[1]Select territorios'!$C:$M,11,0)</f>
        <v>-73.2265</v>
      </c>
      <c r="J433" s="5" t="s">
        <v>40</v>
      </c>
      <c r="K433" s="5">
        <v>1003275622</v>
      </c>
      <c r="L433" s="5">
        <v>3218847746</v>
      </c>
      <c r="M433" s="5" t="s">
        <v>41</v>
      </c>
    </row>
    <row r="434" spans="1:13" ht="15.75" x14ac:dyDescent="0.25">
      <c r="A434" s="3">
        <v>6971</v>
      </c>
      <c r="B434" s="3">
        <v>43426</v>
      </c>
      <c r="C434" s="3" t="s">
        <v>931</v>
      </c>
      <c r="D434" s="3" t="s">
        <v>932</v>
      </c>
      <c r="E434" s="4">
        <v>45386</v>
      </c>
      <c r="F434" s="3" t="s">
        <v>67</v>
      </c>
      <c r="G434" s="3" t="s">
        <v>16</v>
      </c>
      <c r="H434" s="3" t="str">
        <f>VLOOKUP(B434,'[1]Select territorios'!$C:$L,10,0)</f>
        <v>10.29936842</v>
      </c>
      <c r="I434" s="3" t="str">
        <f>VLOOKUP(B434,'[1]Select territorios'!$C:$M,11,0)</f>
        <v>-73.392969</v>
      </c>
      <c r="J434" s="5" t="s">
        <v>40</v>
      </c>
      <c r="K434" s="5">
        <v>1003275622</v>
      </c>
      <c r="L434" s="5">
        <v>3218847746</v>
      </c>
      <c r="M434" s="5" t="s">
        <v>41</v>
      </c>
    </row>
    <row r="435" spans="1:13" ht="15.75" x14ac:dyDescent="0.25">
      <c r="A435" s="3">
        <v>6971</v>
      </c>
      <c r="B435" s="3">
        <v>43427</v>
      </c>
      <c r="C435" s="3" t="s">
        <v>933</v>
      </c>
      <c r="D435" s="3" t="s">
        <v>934</v>
      </c>
      <c r="E435" s="4">
        <v>45386</v>
      </c>
      <c r="F435" s="3" t="s">
        <v>67</v>
      </c>
      <c r="G435" s="3" t="s">
        <v>16</v>
      </c>
      <c r="H435" s="3" t="str">
        <f>VLOOKUP(B435,'[1]Select territorios'!$C:$L,10,0)</f>
        <v>10.435144</v>
      </c>
      <c r="I435" s="3" t="str">
        <f>VLOOKUP(B435,'[1]Select territorios'!$C:$M,11,0)</f>
        <v>-73.264626</v>
      </c>
      <c r="J435" s="5" t="s">
        <v>40</v>
      </c>
      <c r="K435" s="5">
        <v>1003275622</v>
      </c>
      <c r="L435" s="5">
        <v>3218847746</v>
      </c>
      <c r="M435" s="5" t="s">
        <v>41</v>
      </c>
    </row>
    <row r="436" spans="1:13" ht="15.75" x14ac:dyDescent="0.25">
      <c r="A436" s="3">
        <v>6971</v>
      </c>
      <c r="B436" s="3">
        <v>43585</v>
      </c>
      <c r="C436" s="3" t="s">
        <v>935</v>
      </c>
      <c r="D436" s="3" t="s">
        <v>936</v>
      </c>
      <c r="E436" s="4">
        <v>45386</v>
      </c>
      <c r="F436" s="3" t="s">
        <v>67</v>
      </c>
      <c r="G436" s="3" t="s">
        <v>27</v>
      </c>
      <c r="H436" s="3" t="str">
        <f>VLOOKUP(B436,'[1]Select territorios'!$C:$L,10,0)</f>
        <v>10.445966</v>
      </c>
      <c r="I436" s="3" t="str">
        <f>VLOOKUP(B436,'[1]Select territorios'!$C:$M,11,0)</f>
        <v>-73.253646</v>
      </c>
      <c r="J436" s="5" t="s">
        <v>40</v>
      </c>
      <c r="K436" s="5">
        <v>1003275622</v>
      </c>
      <c r="L436" s="5">
        <v>3218847746</v>
      </c>
      <c r="M436" s="5" t="s">
        <v>41</v>
      </c>
    </row>
    <row r="437" spans="1:13" ht="15.75" x14ac:dyDescent="0.25">
      <c r="A437" s="3">
        <v>6971</v>
      </c>
      <c r="B437" s="3">
        <v>43519</v>
      </c>
      <c r="C437" s="3" t="s">
        <v>937</v>
      </c>
      <c r="D437" s="3" t="s">
        <v>938</v>
      </c>
      <c r="E437" s="4">
        <v>6991</v>
      </c>
      <c r="F437" s="3" t="s">
        <v>70</v>
      </c>
      <c r="G437" s="3" t="s">
        <v>27</v>
      </c>
      <c r="H437" s="3" t="str">
        <f>VLOOKUP(B437,'[1]Select territorios'!$C:$L,10,0)</f>
        <v>8.6876699</v>
      </c>
      <c r="I437" s="3" t="str">
        <f>VLOOKUP(B437,'[1]Select territorios'!$C:$M,11,0)</f>
        <v>-73.6593828</v>
      </c>
      <c r="J437" s="5" t="s">
        <v>71</v>
      </c>
      <c r="K437" s="5">
        <v>1065818056</v>
      </c>
      <c r="L437" s="5">
        <v>3145467066</v>
      </c>
      <c r="M437" s="5" t="s">
        <v>72</v>
      </c>
    </row>
    <row r="438" spans="1:13" ht="15.75" x14ac:dyDescent="0.25">
      <c r="A438" s="3">
        <v>6971</v>
      </c>
      <c r="B438" s="3">
        <v>43651</v>
      </c>
      <c r="C438" s="3" t="s">
        <v>939</v>
      </c>
      <c r="D438" s="3" t="s">
        <v>940</v>
      </c>
      <c r="E438" s="4">
        <v>6988</v>
      </c>
      <c r="F438" s="3" t="s">
        <v>227</v>
      </c>
      <c r="G438" s="3" t="s">
        <v>631</v>
      </c>
      <c r="H438" s="3" t="str">
        <f>VLOOKUP(B438,'[1]Select territorios'!$C:$L,10,0)</f>
        <v>10.386717</v>
      </c>
      <c r="I438" s="3" t="str">
        <f>VLOOKUP(B438,'[1]Select territorios'!$C:$M,11,0)</f>
        <v>-73.17062</v>
      </c>
      <c r="J438" s="5" t="s">
        <v>23</v>
      </c>
      <c r="K438" s="5">
        <v>1065600058</v>
      </c>
      <c r="L438" s="5">
        <v>3123009293</v>
      </c>
      <c r="M438" s="5" t="s">
        <v>24</v>
      </c>
    </row>
    <row r="439" spans="1:13" ht="15.75" x14ac:dyDescent="0.25">
      <c r="A439" s="3">
        <v>6971</v>
      </c>
      <c r="B439" s="3">
        <v>43614</v>
      </c>
      <c r="C439" s="3" t="s">
        <v>941</v>
      </c>
      <c r="D439" s="3" t="s">
        <v>942</v>
      </c>
      <c r="E439" s="4">
        <v>6999</v>
      </c>
      <c r="F439" s="3" t="s">
        <v>260</v>
      </c>
      <c r="G439" s="3" t="s">
        <v>27</v>
      </c>
      <c r="H439" s="3" t="str">
        <f>VLOOKUP(B439,'[1]Select territorios'!$C:$L,10,0)</f>
        <v>8.877026</v>
      </c>
      <c r="I439" s="3" t="str">
        <f>VLOOKUP(B439,'[1]Select territorios'!$C:$M,11,0)</f>
        <v>-73.69382</v>
      </c>
      <c r="J439" s="5" t="s">
        <v>71</v>
      </c>
      <c r="K439" s="5">
        <v>1065818056</v>
      </c>
      <c r="L439" s="5">
        <v>3145467066</v>
      </c>
      <c r="M439" s="5" t="s">
        <v>72</v>
      </c>
    </row>
    <row r="440" spans="1:13" ht="15.75" x14ac:dyDescent="0.25">
      <c r="A440" s="3">
        <v>6971</v>
      </c>
      <c r="B440" s="3">
        <v>43514</v>
      </c>
      <c r="C440" s="3" t="s">
        <v>943</v>
      </c>
      <c r="D440" s="3" t="s">
        <v>944</v>
      </c>
      <c r="E440" s="4">
        <v>8560</v>
      </c>
      <c r="F440" s="3" t="s">
        <v>161</v>
      </c>
      <c r="G440" s="3" t="s">
        <v>27</v>
      </c>
      <c r="H440" s="3" t="str">
        <f>VLOOKUP(B440,'[1]Select territorios'!$C:$L,10,0)</f>
        <v>8.3184813</v>
      </c>
      <c r="I440" s="3" t="str">
        <f>VLOOKUP(B440,'[1]Select territorios'!$C:$M,11,0)</f>
        <v>-73.6017518</v>
      </c>
      <c r="J440" s="5" t="s">
        <v>107</v>
      </c>
      <c r="K440" s="5">
        <v>1005281494</v>
      </c>
      <c r="L440" s="5">
        <v>3158541035</v>
      </c>
      <c r="M440" s="5" t="s">
        <v>108</v>
      </c>
    </row>
    <row r="441" spans="1:13" ht="15.75" x14ac:dyDescent="0.25">
      <c r="A441" s="3">
        <v>6971</v>
      </c>
      <c r="B441" s="3">
        <v>43671</v>
      </c>
      <c r="C441" s="3" t="s">
        <v>945</v>
      </c>
      <c r="D441" s="3" t="s">
        <v>416</v>
      </c>
      <c r="E441" s="4">
        <v>6978</v>
      </c>
      <c r="F441" s="3" t="s">
        <v>91</v>
      </c>
      <c r="G441" s="3" t="s">
        <v>16</v>
      </c>
      <c r="H441" s="3" t="str">
        <f>VLOOKUP(B441,'[1]Select territorios'!$C:$L,10,0)</f>
        <v>10.04145</v>
      </c>
      <c r="I441" s="3" t="str">
        <f>VLOOKUP(B441,'[1]Select territorios'!$C:$M,11,0)</f>
        <v>-73.2312</v>
      </c>
      <c r="J441" s="5" t="s">
        <v>58</v>
      </c>
      <c r="K441" s="5">
        <v>1193146338</v>
      </c>
      <c r="L441" s="5">
        <v>3202114923</v>
      </c>
      <c r="M441" s="5" t="s">
        <v>59</v>
      </c>
    </row>
    <row r="442" spans="1:13" ht="15.75" x14ac:dyDescent="0.25">
      <c r="A442" s="3">
        <v>6971</v>
      </c>
      <c r="B442" s="3">
        <v>43613</v>
      </c>
      <c r="C442" s="3" t="s">
        <v>946</v>
      </c>
      <c r="D442" s="3" t="s">
        <v>947</v>
      </c>
      <c r="E442" s="4">
        <v>6997</v>
      </c>
      <c r="F442" s="3" t="s">
        <v>88</v>
      </c>
      <c r="G442" s="3" t="s">
        <v>27</v>
      </c>
      <c r="H442" s="3" t="str">
        <f>VLOOKUP(B442,'[1]Select territorios'!$C:$L,10,0)</f>
        <v>10.3365</v>
      </c>
      <c r="I442" s="3" t="str">
        <f>VLOOKUP(B442,'[1]Select territorios'!$C:$M,11,0)</f>
        <v>-73.174</v>
      </c>
      <c r="J442" s="5" t="s">
        <v>17</v>
      </c>
      <c r="K442" s="5">
        <v>15173890</v>
      </c>
      <c r="L442" s="5">
        <v>3002039991</v>
      </c>
      <c r="M442" s="5" t="s">
        <v>18</v>
      </c>
    </row>
    <row r="443" spans="1:13" ht="15.75" x14ac:dyDescent="0.25">
      <c r="A443" s="3">
        <v>6971</v>
      </c>
      <c r="B443" s="3">
        <v>43517</v>
      </c>
      <c r="C443" s="3" t="s">
        <v>948</v>
      </c>
      <c r="D443" s="3" t="s">
        <v>949</v>
      </c>
      <c r="E443" s="4">
        <v>6982</v>
      </c>
      <c r="F443" s="3" t="s">
        <v>118</v>
      </c>
      <c r="G443" s="3" t="s">
        <v>27</v>
      </c>
      <c r="H443" s="3" t="str">
        <f>VLOOKUP(B443,'[1]Select territorios'!$C:$L,10,0)</f>
        <v>8.3306</v>
      </c>
      <c r="I443" s="3" t="str">
        <f>VLOOKUP(B443,'[1]Select territorios'!$C:$M,11,0)</f>
        <v>-73.727041</v>
      </c>
      <c r="J443" s="5" t="s">
        <v>107</v>
      </c>
      <c r="K443" s="5">
        <v>1005281494</v>
      </c>
      <c r="L443" s="5">
        <v>3158541035</v>
      </c>
      <c r="M443" s="5" t="s">
        <v>108</v>
      </c>
    </row>
    <row r="444" spans="1:13" ht="15.75" x14ac:dyDescent="0.25">
      <c r="A444" s="3">
        <v>6971</v>
      </c>
      <c r="B444" s="3">
        <v>43634</v>
      </c>
      <c r="C444" s="3" t="s">
        <v>950</v>
      </c>
      <c r="D444" s="3" t="s">
        <v>951</v>
      </c>
      <c r="E444" s="4">
        <v>6976</v>
      </c>
      <c r="F444" s="3" t="s">
        <v>96</v>
      </c>
      <c r="G444" s="3" t="s">
        <v>27</v>
      </c>
      <c r="H444" s="3" t="str">
        <f>VLOOKUP(B444,'[1]Select territorios'!$C:$L,10,0)</f>
        <v>9.26403</v>
      </c>
      <c r="I444" s="3" t="str">
        <f>VLOOKUP(B444,'[1]Select territorios'!$C:$M,11,0)</f>
        <v>-73.813429</v>
      </c>
      <c r="J444" s="5" t="s">
        <v>48</v>
      </c>
      <c r="K444" s="5">
        <v>1064795379</v>
      </c>
      <c r="L444" s="5">
        <v>3104688587</v>
      </c>
      <c r="M444" s="5" t="s">
        <v>49</v>
      </c>
    </row>
    <row r="445" spans="1:13" ht="15.75" x14ac:dyDescent="0.25">
      <c r="A445" s="3">
        <v>6971</v>
      </c>
      <c r="B445" s="3">
        <v>43748</v>
      </c>
      <c r="C445" s="3" t="s">
        <v>952</v>
      </c>
      <c r="D445" s="3" t="s">
        <v>953</v>
      </c>
      <c r="E445" s="4">
        <v>6979</v>
      </c>
      <c r="F445" s="3" t="s">
        <v>57</v>
      </c>
      <c r="G445" s="3" t="s">
        <v>631</v>
      </c>
      <c r="H445" s="3" t="str">
        <f>VLOOKUP(B445,'[1]Select territorios'!$C:$L,10,0)</f>
        <v>9.205142</v>
      </c>
      <c r="I445" s="3" t="str">
        <f>VLOOKUP(B445,'[1]Select territorios'!$C:$M,11,0)</f>
        <v>-73.541968</v>
      </c>
      <c r="J445" s="5" t="s">
        <v>58</v>
      </c>
      <c r="K445" s="5">
        <v>1193146338</v>
      </c>
      <c r="L445" s="5">
        <v>3202114923</v>
      </c>
      <c r="M445" s="5" t="s">
        <v>59</v>
      </c>
    </row>
    <row r="446" spans="1:13" ht="15.75" x14ac:dyDescent="0.25">
      <c r="A446" s="3">
        <v>6971</v>
      </c>
      <c r="B446" s="3">
        <v>43632</v>
      </c>
      <c r="C446" s="3" t="s">
        <v>954</v>
      </c>
      <c r="D446" s="3" t="s">
        <v>955</v>
      </c>
      <c r="E446" s="4">
        <v>6994</v>
      </c>
      <c r="F446" s="3" t="s">
        <v>224</v>
      </c>
      <c r="G446" s="3" t="s">
        <v>27</v>
      </c>
      <c r="H446" s="3" t="str">
        <f>VLOOKUP(B446,'[1]Select territorios'!$C:$L,10,0)</f>
        <v>8.28926</v>
      </c>
      <c r="I446" s="3" t="str">
        <f>VLOOKUP(B446,'[1]Select territorios'!$C:$M,11,0)</f>
        <v>-73.38958</v>
      </c>
      <c r="J446" s="5" t="s">
        <v>107</v>
      </c>
      <c r="K446" s="5">
        <v>1005281494</v>
      </c>
      <c r="L446" s="5">
        <v>3158541035</v>
      </c>
      <c r="M446" s="5" t="s">
        <v>108</v>
      </c>
    </row>
    <row r="447" spans="1:13" ht="15.75" x14ac:dyDescent="0.25">
      <c r="A447" s="3">
        <v>6971</v>
      </c>
      <c r="B447" s="3">
        <v>43689</v>
      </c>
      <c r="C447" s="3" t="s">
        <v>956</v>
      </c>
      <c r="D447" s="3" t="s">
        <v>957</v>
      </c>
      <c r="E447" s="4">
        <v>6985</v>
      </c>
      <c r="F447" s="3" t="s">
        <v>101</v>
      </c>
      <c r="G447" s="3" t="s">
        <v>27</v>
      </c>
      <c r="H447" s="3" t="str">
        <f>VLOOKUP(B447,'[1]Select territorios'!$C:$L,10,0)</f>
        <v>9.5028</v>
      </c>
      <c r="I447" s="3" t="str">
        <f>VLOOKUP(B447,'[1]Select territorios'!$C:$M,11,0)</f>
        <v>-73.4059</v>
      </c>
      <c r="J447" s="5" t="s">
        <v>58</v>
      </c>
      <c r="K447" s="5">
        <v>1193146338</v>
      </c>
      <c r="L447" s="5">
        <v>3202114923</v>
      </c>
      <c r="M447" s="5" t="s">
        <v>59</v>
      </c>
    </row>
    <row r="448" spans="1:13" ht="15.75" x14ac:dyDescent="0.25">
      <c r="A448" s="3">
        <v>6971</v>
      </c>
      <c r="B448" s="3">
        <v>43630</v>
      </c>
      <c r="C448" s="3" t="s">
        <v>958</v>
      </c>
      <c r="D448" s="3" t="s">
        <v>959</v>
      </c>
      <c r="E448" s="4">
        <v>6986</v>
      </c>
      <c r="F448" s="3" t="s">
        <v>294</v>
      </c>
      <c r="G448" s="3" t="s">
        <v>631</v>
      </c>
      <c r="H448" s="3" t="str">
        <f>VLOOKUP(B448,'[1]Select territorios'!$C:$L,10,0)</f>
        <v>9.6172</v>
      </c>
      <c r="I448" s="3" t="str">
        <f>VLOOKUP(B448,'[1]Select territorios'!$C:$M,11,0)</f>
        <v>-73.6041</v>
      </c>
      <c r="J448" s="5" t="s">
        <v>48</v>
      </c>
      <c r="K448" s="5">
        <v>1064795379</v>
      </c>
      <c r="L448" s="5">
        <v>3104688587</v>
      </c>
      <c r="M448" s="5" t="s">
        <v>49</v>
      </c>
    </row>
    <row r="449" spans="1:13" ht="15.75" x14ac:dyDescent="0.25">
      <c r="A449" s="3">
        <v>6971</v>
      </c>
      <c r="B449" s="3">
        <v>43674</v>
      </c>
      <c r="C449" s="3" t="s">
        <v>960</v>
      </c>
      <c r="D449" s="3" t="s">
        <v>961</v>
      </c>
      <c r="E449" s="4">
        <v>18936</v>
      </c>
      <c r="F449" s="3" t="s">
        <v>21</v>
      </c>
      <c r="G449" s="3" t="s">
        <v>16</v>
      </c>
      <c r="H449" s="3" t="str">
        <f>VLOOKUP(B449,'[1]Select territorios'!$C:$L,10,0)</f>
        <v>10.654355</v>
      </c>
      <c r="I449" s="3" t="str">
        <f>VLOOKUP(B449,'[1]Select territorios'!$C:$M,11,0)</f>
        <v>-73.201615</v>
      </c>
      <c r="J449" s="5" t="s">
        <v>23</v>
      </c>
      <c r="K449" s="5">
        <v>1065600058</v>
      </c>
      <c r="L449" s="5">
        <v>3123009293</v>
      </c>
      <c r="M449" s="5" t="s">
        <v>24</v>
      </c>
    </row>
    <row r="450" spans="1:13" ht="15.75" x14ac:dyDescent="0.25">
      <c r="A450" s="3">
        <v>6971</v>
      </c>
      <c r="B450" s="3">
        <v>43758</v>
      </c>
      <c r="C450" s="3" t="s">
        <v>962</v>
      </c>
      <c r="D450" s="3" t="s">
        <v>963</v>
      </c>
      <c r="E450" s="4">
        <v>18936</v>
      </c>
      <c r="F450" s="3" t="s">
        <v>21</v>
      </c>
      <c r="G450" s="3" t="s">
        <v>631</v>
      </c>
      <c r="H450" s="3" t="str">
        <f>VLOOKUP(B450,'[1]Select territorios'!$C:$L,10,0)</f>
        <v>10.473766</v>
      </c>
      <c r="I450" s="3" t="str">
        <f>VLOOKUP(B450,'[1]Select territorios'!$C:$M,11,0)</f>
        <v>-73.278332</v>
      </c>
      <c r="J450" s="5" t="s">
        <v>23</v>
      </c>
      <c r="K450" s="5">
        <v>1065600058</v>
      </c>
      <c r="L450" s="5">
        <v>3123009293</v>
      </c>
      <c r="M450" s="5" t="s">
        <v>24</v>
      </c>
    </row>
    <row r="451" spans="1:13" ht="15.75" x14ac:dyDescent="0.25">
      <c r="A451" s="3">
        <v>6971</v>
      </c>
      <c r="B451" s="3">
        <v>43687</v>
      </c>
      <c r="C451" s="3" t="s">
        <v>964</v>
      </c>
      <c r="D451" s="3" t="s">
        <v>965</v>
      </c>
      <c r="E451" s="4">
        <v>6990</v>
      </c>
      <c r="F451" s="3" t="s">
        <v>131</v>
      </c>
      <c r="G451" s="3" t="s">
        <v>16</v>
      </c>
      <c r="H451" s="3" t="str">
        <f>VLOOKUP(B451,'[1]Select territorios'!$C:$L,10,0)</f>
        <v>8.958523</v>
      </c>
      <c r="I451" s="3" t="str">
        <f>VLOOKUP(B451,'[1]Select territorios'!$C:$M,11,0)</f>
        <v>-73.626323</v>
      </c>
      <c r="J451" s="5" t="s">
        <v>71</v>
      </c>
      <c r="K451" s="5">
        <v>1065818056</v>
      </c>
      <c r="L451" s="5">
        <v>3145467066</v>
      </c>
      <c r="M451" s="5" t="s">
        <v>72</v>
      </c>
    </row>
    <row r="452" spans="1:13" ht="15.75" x14ac:dyDescent="0.25">
      <c r="A452" s="3">
        <v>6971</v>
      </c>
      <c r="B452" s="3">
        <v>43701</v>
      </c>
      <c r="C452" s="3" t="s">
        <v>966</v>
      </c>
      <c r="D452" s="3" t="s">
        <v>967</v>
      </c>
      <c r="E452" s="4">
        <v>6993</v>
      </c>
      <c r="F452" s="3" t="s">
        <v>370</v>
      </c>
      <c r="G452" s="3" t="s">
        <v>27</v>
      </c>
      <c r="H452" s="3" t="str">
        <f>VLOOKUP(B452,'[1]Select territorios'!$C:$L,10,0)</f>
        <v>10.417702</v>
      </c>
      <c r="I452" s="3" t="str">
        <f>VLOOKUP(B452,'[1]Select territorios'!$C:$M,11,0)</f>
        <v>-73.5810493</v>
      </c>
      <c r="J452" s="5" t="s">
        <v>40</v>
      </c>
      <c r="K452" s="5">
        <v>1003275622</v>
      </c>
      <c r="L452" s="5">
        <v>3218847746</v>
      </c>
      <c r="M452" s="5" t="s">
        <v>41</v>
      </c>
    </row>
    <row r="453" spans="1:13" ht="15.75" x14ac:dyDescent="0.25">
      <c r="A453" s="3">
        <v>6971</v>
      </c>
      <c r="B453" s="3">
        <v>43746</v>
      </c>
      <c r="C453" s="3" t="s">
        <v>968</v>
      </c>
      <c r="D453" s="3" t="s">
        <v>969</v>
      </c>
      <c r="E453" s="4">
        <v>8558</v>
      </c>
      <c r="F453" s="3" t="s">
        <v>62</v>
      </c>
      <c r="G453" s="3" t="s">
        <v>16</v>
      </c>
      <c r="H453" s="3" t="str">
        <f>VLOOKUP(B453,'[1]Select territorios'!$C:$L,10,0)</f>
        <v>10.472832</v>
      </c>
      <c r="I453" s="3" t="str">
        <f>VLOOKUP(B453,'[1]Select territorios'!$C:$M,11,0)</f>
        <v>-73.263622</v>
      </c>
      <c r="J453" s="5" t="s">
        <v>23</v>
      </c>
      <c r="K453" s="5">
        <v>1065600058</v>
      </c>
      <c r="L453" s="5">
        <v>3123009293</v>
      </c>
      <c r="M453" s="5" t="s">
        <v>24</v>
      </c>
    </row>
    <row r="454" spans="1:13" ht="15.75" x14ac:dyDescent="0.25">
      <c r="A454" s="3">
        <v>6971</v>
      </c>
      <c r="B454" s="3">
        <v>13450</v>
      </c>
      <c r="C454" s="3" t="s">
        <v>970</v>
      </c>
      <c r="D454" s="3" t="s">
        <v>971</v>
      </c>
      <c r="E454" s="4">
        <v>17191</v>
      </c>
      <c r="F454" s="3" t="s">
        <v>186</v>
      </c>
      <c r="G454" s="3" t="s">
        <v>16</v>
      </c>
      <c r="H454" s="3" t="str">
        <f>VLOOKUP(B454,'[1]Select territorios'!$C:$L,10,0)</f>
        <v>10.4623</v>
      </c>
      <c r="I454" s="3" t="str">
        <f>VLOOKUP(B454,'[1]Select territorios'!$C:$M,11,0)</f>
        <v>-73.2754</v>
      </c>
      <c r="J454" s="5" t="s">
        <v>17</v>
      </c>
      <c r="K454" s="5">
        <v>15173890</v>
      </c>
      <c r="L454" s="5">
        <v>3002039991</v>
      </c>
      <c r="M454" s="5" t="s">
        <v>18</v>
      </c>
    </row>
    <row r="455" spans="1:13" ht="15.75" x14ac:dyDescent="0.25">
      <c r="A455" s="3">
        <v>6971</v>
      </c>
      <c r="B455" s="3">
        <v>8187</v>
      </c>
      <c r="C455" s="3" t="s">
        <v>972</v>
      </c>
      <c r="D455" s="3" t="s">
        <v>973</v>
      </c>
      <c r="E455" s="4">
        <v>18935</v>
      </c>
      <c r="F455" s="3" t="s">
        <v>44</v>
      </c>
      <c r="G455" s="3" t="s">
        <v>16</v>
      </c>
      <c r="H455" s="3" t="str">
        <f>VLOOKUP(B455,'[1]Select territorios'!$C:$L,10,0)</f>
        <v>10.4565</v>
      </c>
      <c r="I455" s="3" t="str">
        <f>VLOOKUP(B455,'[1]Select territorios'!$C:$M,11,0)</f>
        <v>-73.2465</v>
      </c>
      <c r="J455" s="5" t="s">
        <v>40</v>
      </c>
      <c r="K455" s="5">
        <v>1003275622</v>
      </c>
      <c r="L455" s="5">
        <v>3218847746</v>
      </c>
      <c r="M455" s="5" t="s">
        <v>41</v>
      </c>
    </row>
    <row r="456" spans="1:13" ht="15.75" x14ac:dyDescent="0.25">
      <c r="A456" s="3">
        <v>6971</v>
      </c>
      <c r="B456" s="3">
        <v>43655</v>
      </c>
      <c r="C456" s="3" t="s">
        <v>974</v>
      </c>
      <c r="D456" s="3" t="s">
        <v>975</v>
      </c>
      <c r="E456" s="4">
        <v>43654</v>
      </c>
      <c r="F456" s="3" t="s">
        <v>976</v>
      </c>
      <c r="G456" s="3" t="s">
        <v>22</v>
      </c>
      <c r="H456" s="3" t="str">
        <f>VLOOKUP(B456,'[1]Select territorios'!$C:$L,10,0)</f>
        <v>10.4753</v>
      </c>
      <c r="I456" s="3" t="str">
        <f>VLOOKUP(B456,'[1]Select territorios'!$C:$M,11,0)</f>
        <v>-73.2473</v>
      </c>
      <c r="J456" s="5" t="s">
        <v>23</v>
      </c>
      <c r="K456" s="5">
        <v>1065600058</v>
      </c>
      <c r="L456" s="5">
        <v>3123009293</v>
      </c>
      <c r="M456" s="5" t="s">
        <v>24</v>
      </c>
    </row>
    <row r="457" spans="1:13" ht="15.75" x14ac:dyDescent="0.25">
      <c r="A457" s="3">
        <v>6971</v>
      </c>
      <c r="B457" s="3">
        <v>43749</v>
      </c>
      <c r="C457" s="3" t="s">
        <v>977</v>
      </c>
      <c r="D457" s="3" t="s">
        <v>978</v>
      </c>
      <c r="E457" s="4">
        <v>9206</v>
      </c>
      <c r="F457" s="3" t="s">
        <v>33</v>
      </c>
      <c r="G457" s="3" t="s">
        <v>16</v>
      </c>
      <c r="H457" s="3" t="str">
        <f>VLOOKUP(B457,'[1]Select territorios'!$C:$L,10,0)</f>
        <v>10.44827</v>
      </c>
      <c r="I457" s="3" t="str">
        <f>VLOOKUP(B457,'[1]Select territorios'!$C:$M,11,0)</f>
        <v>-73.267334</v>
      </c>
      <c r="J457" s="5" t="s">
        <v>17</v>
      </c>
      <c r="K457" s="5">
        <v>15173890</v>
      </c>
      <c r="L457" s="5">
        <v>3002039991</v>
      </c>
      <c r="M457" s="5" t="s">
        <v>18</v>
      </c>
    </row>
    <row r="458" spans="1:13" ht="15.75" x14ac:dyDescent="0.25">
      <c r="A458" s="3">
        <v>6971</v>
      </c>
      <c r="B458" s="3">
        <v>43778</v>
      </c>
      <c r="C458" s="3" t="s">
        <v>979</v>
      </c>
      <c r="D458" s="3" t="s">
        <v>980</v>
      </c>
      <c r="E458" s="4">
        <v>18935</v>
      </c>
      <c r="F458" s="3" t="s">
        <v>44</v>
      </c>
      <c r="G458" s="3" t="s">
        <v>27</v>
      </c>
      <c r="H458" s="3" t="str">
        <f>VLOOKUP(B458,'[1]Select territorios'!$C:$L,10,0)</f>
        <v>10.45108</v>
      </c>
      <c r="I458" s="3" t="str">
        <f>VLOOKUP(B458,'[1]Select territorios'!$C:$M,11,0)</f>
        <v>-73.24797</v>
      </c>
      <c r="J458" s="5" t="s">
        <v>40</v>
      </c>
      <c r="K458" s="5">
        <v>1003275622</v>
      </c>
      <c r="L458" s="5">
        <v>3218847746</v>
      </c>
      <c r="M458" s="5" t="s">
        <v>41</v>
      </c>
    </row>
    <row r="459" spans="1:13" ht="15.75" x14ac:dyDescent="0.25">
      <c r="A459" s="3">
        <v>6971</v>
      </c>
      <c r="B459" s="3">
        <v>43773</v>
      </c>
      <c r="C459" s="3" t="s">
        <v>981</v>
      </c>
      <c r="D459" s="3" t="s">
        <v>982</v>
      </c>
      <c r="E459" s="4">
        <v>6990</v>
      </c>
      <c r="F459" s="3" t="s">
        <v>131</v>
      </c>
      <c r="G459" s="3" t="s">
        <v>27</v>
      </c>
      <c r="H459" s="3" t="str">
        <f>VLOOKUP(B459,'[1]Select territorios'!$C:$L,10,0)</f>
        <v>8.95495</v>
      </c>
      <c r="I459" s="3" t="str">
        <f>VLOOKUP(B459,'[1]Select territorios'!$C:$M,11,0)</f>
        <v>-73.6224</v>
      </c>
      <c r="J459" s="5" t="s">
        <v>71</v>
      </c>
      <c r="K459" s="5">
        <v>1065818056</v>
      </c>
      <c r="L459" s="5">
        <v>3145467066</v>
      </c>
      <c r="M459" s="5" t="s">
        <v>72</v>
      </c>
    </row>
    <row r="460" spans="1:13" ht="15.75" x14ac:dyDescent="0.25">
      <c r="A460" s="3">
        <v>6971</v>
      </c>
      <c r="B460" s="3">
        <v>43633</v>
      </c>
      <c r="C460" s="3" t="s">
        <v>983</v>
      </c>
      <c r="D460" s="3" t="s">
        <v>984</v>
      </c>
      <c r="E460" s="4">
        <v>6976</v>
      </c>
      <c r="F460" s="3" t="s">
        <v>96</v>
      </c>
      <c r="G460" s="3" t="s">
        <v>27</v>
      </c>
      <c r="H460" s="3" t="str">
        <f>VLOOKUP(B460,'[1]Select territorios'!$C:$L,10,0)</f>
        <v>9.254737</v>
      </c>
      <c r="I460" s="3" t="str">
        <f>VLOOKUP(B460,'[1]Select territorios'!$C:$M,11,0)</f>
        <v>-73.815682</v>
      </c>
      <c r="J460" s="5" t="s">
        <v>48</v>
      </c>
      <c r="K460" s="5">
        <v>1064795379</v>
      </c>
      <c r="L460" s="5">
        <v>3104688587</v>
      </c>
      <c r="M460" s="5" t="s">
        <v>49</v>
      </c>
    </row>
    <row r="461" spans="1:13" ht="15.75" x14ac:dyDescent="0.25">
      <c r="A461" s="3">
        <v>6971</v>
      </c>
      <c r="B461" s="3">
        <v>43727</v>
      </c>
      <c r="C461" s="3" t="s">
        <v>985</v>
      </c>
      <c r="D461" s="3" t="s">
        <v>986</v>
      </c>
      <c r="E461" s="4">
        <v>18936</v>
      </c>
      <c r="F461" s="3" t="s">
        <v>21</v>
      </c>
      <c r="G461" s="3" t="s">
        <v>16</v>
      </c>
      <c r="H461" s="3" t="str">
        <f>VLOOKUP(B461,'[1]Select territorios'!$C:$L,10,0)</f>
        <v>10.480581</v>
      </c>
      <c r="I461" s="3" t="str">
        <f>VLOOKUP(B461,'[1]Select territorios'!$C:$M,11,0)</f>
        <v>-73.250605</v>
      </c>
      <c r="J461" s="5" t="s">
        <v>23</v>
      </c>
      <c r="K461" s="5">
        <v>1065600058</v>
      </c>
      <c r="L461" s="5">
        <v>3123009293</v>
      </c>
      <c r="M461" s="5" t="s">
        <v>24</v>
      </c>
    </row>
    <row r="462" spans="1:13" ht="15.75" x14ac:dyDescent="0.25">
      <c r="A462" s="3">
        <v>6971</v>
      </c>
      <c r="B462" s="3">
        <v>43848</v>
      </c>
      <c r="C462" s="3" t="s">
        <v>987</v>
      </c>
      <c r="D462" s="3" t="s">
        <v>988</v>
      </c>
      <c r="E462" s="4">
        <v>6979</v>
      </c>
      <c r="F462" s="3" t="s">
        <v>57</v>
      </c>
      <c r="G462" s="3" t="s">
        <v>16</v>
      </c>
      <c r="H462" s="3" t="str">
        <f>VLOOKUP(B462,'[1]Select territorios'!$C:$L,10,0)</f>
        <v>9.201117</v>
      </c>
      <c r="I462" s="3" t="str">
        <f>VLOOKUP(B462,'[1]Select territorios'!$C:$M,11,0)</f>
        <v>-73.542877</v>
      </c>
      <c r="J462" s="5" t="s">
        <v>58</v>
      </c>
      <c r="K462" s="5">
        <v>1193146338</v>
      </c>
      <c r="L462" s="5">
        <v>3202114923</v>
      </c>
      <c r="M462" s="5" t="s">
        <v>59</v>
      </c>
    </row>
    <row r="463" spans="1:13" ht="15.75" x14ac:dyDescent="0.25">
      <c r="A463" s="3">
        <v>6971</v>
      </c>
      <c r="B463" s="3">
        <v>20601</v>
      </c>
      <c r="C463" s="3" t="s">
        <v>989</v>
      </c>
      <c r="D463" s="3" t="s">
        <v>990</v>
      </c>
      <c r="E463" s="4">
        <v>6990</v>
      </c>
      <c r="F463" s="3" t="s">
        <v>131</v>
      </c>
      <c r="G463" s="3" t="s">
        <v>16</v>
      </c>
      <c r="H463" s="3" t="str">
        <f>VLOOKUP(B463,'[1]Select territorios'!$C:$L,10,0)</f>
        <v>8.95896</v>
      </c>
      <c r="I463" s="3" t="str">
        <f>VLOOKUP(B463,'[1]Select territorios'!$C:$M,11,0)</f>
        <v>-73.62298</v>
      </c>
      <c r="J463" s="5" t="s">
        <v>71</v>
      </c>
      <c r="K463" s="5">
        <v>1065818056</v>
      </c>
      <c r="L463" s="5">
        <v>3145467066</v>
      </c>
      <c r="M463" s="5" t="s">
        <v>72</v>
      </c>
    </row>
    <row r="464" spans="1:13" ht="15.75" x14ac:dyDescent="0.25">
      <c r="A464" s="3">
        <v>6971</v>
      </c>
      <c r="B464" s="3">
        <v>43935</v>
      </c>
      <c r="C464" s="3" t="s">
        <v>991</v>
      </c>
      <c r="D464" s="3" t="s">
        <v>992</v>
      </c>
      <c r="E464" s="4">
        <v>6979</v>
      </c>
      <c r="F464" s="3" t="s">
        <v>57</v>
      </c>
      <c r="G464" s="3" t="s">
        <v>27</v>
      </c>
      <c r="H464" s="3" t="str">
        <f>VLOOKUP(B464,'[1]Select territorios'!$C:$L,10,0)</f>
        <v>9.22954</v>
      </c>
      <c r="I464" s="3" t="str">
        <f>VLOOKUP(B464,'[1]Select territorios'!$C:$M,11,0)</f>
        <v>-73.660168</v>
      </c>
      <c r="J464" s="5" t="s">
        <v>58</v>
      </c>
      <c r="K464" s="5">
        <v>1193146338</v>
      </c>
      <c r="L464" s="5">
        <v>3202114923</v>
      </c>
      <c r="M464" s="5" t="s">
        <v>59</v>
      </c>
    </row>
    <row r="465" spans="1:13" ht="15.75" x14ac:dyDescent="0.25">
      <c r="A465" s="3">
        <v>6971</v>
      </c>
      <c r="B465" s="3">
        <v>43859</v>
      </c>
      <c r="C465" s="3" t="s">
        <v>993</v>
      </c>
      <c r="D465" s="3" t="s">
        <v>994</v>
      </c>
      <c r="E465" s="4">
        <v>8554</v>
      </c>
      <c r="F465" s="3" t="s">
        <v>81</v>
      </c>
      <c r="G465" s="3" t="s">
        <v>27</v>
      </c>
      <c r="H465" s="3" t="str">
        <f>VLOOKUP(B465,'[1]Select territorios'!$C:$L,10,0)</f>
        <v>10.4462</v>
      </c>
      <c r="I465" s="3" t="str">
        <f>VLOOKUP(B465,'[1]Select territorios'!$C:$M,11,0)</f>
        <v>-73.2476</v>
      </c>
      <c r="J465" s="5" t="s">
        <v>40</v>
      </c>
      <c r="K465" s="5">
        <v>1003275622</v>
      </c>
      <c r="L465" s="5">
        <v>3218847746</v>
      </c>
      <c r="M465" s="5" t="s">
        <v>41</v>
      </c>
    </row>
    <row r="466" spans="1:13" ht="15.75" x14ac:dyDescent="0.25">
      <c r="A466" s="3">
        <v>6971</v>
      </c>
      <c r="B466" s="3">
        <v>43830</v>
      </c>
      <c r="C466" s="3" t="s">
        <v>995</v>
      </c>
      <c r="D466" s="3" t="s">
        <v>996</v>
      </c>
      <c r="E466" s="4">
        <v>8561</v>
      </c>
      <c r="F466" s="3" t="s">
        <v>168</v>
      </c>
      <c r="G466" s="3" t="s">
        <v>16</v>
      </c>
      <c r="H466" s="3" t="str">
        <f>VLOOKUP(B466,'[1]Select territorios'!$C:$L,10,0)</f>
        <v>8.308512</v>
      </c>
      <c r="I466" s="3" t="str">
        <f>VLOOKUP(B466,'[1]Select territorios'!$C:$M,11,0)</f>
        <v>-73.62047</v>
      </c>
      <c r="J466" s="5" t="s">
        <v>107</v>
      </c>
      <c r="K466" s="5">
        <v>1005281494</v>
      </c>
      <c r="L466" s="5">
        <v>3158541035</v>
      </c>
      <c r="M466" s="5" t="s">
        <v>108</v>
      </c>
    </row>
    <row r="467" spans="1:13" ht="15.75" x14ac:dyDescent="0.25">
      <c r="A467" s="3">
        <v>6971</v>
      </c>
      <c r="B467" s="3">
        <v>44212</v>
      </c>
      <c r="C467" s="3" t="s">
        <v>997</v>
      </c>
      <c r="D467" s="3" t="s">
        <v>998</v>
      </c>
      <c r="E467" s="4">
        <v>17176</v>
      </c>
      <c r="F467" s="3" t="s">
        <v>189</v>
      </c>
      <c r="G467" s="3" t="s">
        <v>27</v>
      </c>
      <c r="H467" s="3" t="str">
        <f>VLOOKUP(B467,'[1]Select territorios'!$C:$L,10,0)</f>
        <v>10.46495</v>
      </c>
      <c r="I467" s="3" t="str">
        <f>VLOOKUP(B467,'[1]Select territorios'!$C:$M,11,0)</f>
        <v>-73.23532</v>
      </c>
      <c r="J467" s="5" t="s">
        <v>40</v>
      </c>
      <c r="K467" s="5">
        <v>1003275622</v>
      </c>
      <c r="L467" s="5">
        <v>3218847746</v>
      </c>
      <c r="M467" s="5" t="s">
        <v>41</v>
      </c>
    </row>
    <row r="468" spans="1:13" ht="15.75" x14ac:dyDescent="0.25">
      <c r="A468" s="3">
        <v>6971</v>
      </c>
      <c r="B468" s="3">
        <v>43562</v>
      </c>
      <c r="C468" s="3" t="s">
        <v>999</v>
      </c>
      <c r="D468" s="3" t="s">
        <v>1000</v>
      </c>
      <c r="E468" s="4">
        <v>8561</v>
      </c>
      <c r="F468" s="3" t="s">
        <v>168</v>
      </c>
      <c r="G468" s="3" t="s">
        <v>16</v>
      </c>
      <c r="H468" s="3" t="str">
        <f>VLOOKUP(B468,'[1]Select territorios'!$C:$L,10,0)</f>
        <v>8.297821</v>
      </c>
      <c r="I468" s="3" t="str">
        <f>VLOOKUP(B468,'[1]Select territorios'!$C:$M,11,0)</f>
        <v>-73.616516</v>
      </c>
      <c r="J468" s="5" t="s">
        <v>107</v>
      </c>
      <c r="K468" s="5">
        <v>1005281494</v>
      </c>
      <c r="L468" s="5">
        <v>3158541035</v>
      </c>
      <c r="M468" s="5" t="s">
        <v>108</v>
      </c>
    </row>
    <row r="469" spans="1:13" ht="15.75" x14ac:dyDescent="0.25">
      <c r="A469" s="3">
        <v>6971</v>
      </c>
      <c r="B469" s="3">
        <v>43817</v>
      </c>
      <c r="C469" s="3" t="s">
        <v>1001</v>
      </c>
      <c r="D469" s="3" t="s">
        <v>1002</v>
      </c>
      <c r="E469" s="4">
        <v>6972</v>
      </c>
      <c r="F469" s="3" t="s">
        <v>173</v>
      </c>
      <c r="G469" s="3" t="s">
        <v>27</v>
      </c>
      <c r="H469" s="3" t="str">
        <f>VLOOKUP(B469,'[1]Select territorios'!$C:$L,10,0)</f>
        <v>8.30710472</v>
      </c>
      <c r="I469" s="3" t="str">
        <f>VLOOKUP(B469,'[1]Select territorios'!$C:$M,11,0)</f>
        <v>-73.61036795</v>
      </c>
      <c r="J469" s="5" t="s">
        <v>71</v>
      </c>
      <c r="K469" s="5">
        <v>1065818056</v>
      </c>
      <c r="L469" s="5">
        <v>3145467066</v>
      </c>
      <c r="M469" s="5" t="s">
        <v>72</v>
      </c>
    </row>
    <row r="470" spans="1:13" ht="15.75" x14ac:dyDescent="0.25">
      <c r="A470" s="3">
        <v>6971</v>
      </c>
      <c r="B470" s="3">
        <v>43597</v>
      </c>
      <c r="C470" s="3" t="s">
        <v>1003</v>
      </c>
      <c r="D470" s="3" t="s">
        <v>1004</v>
      </c>
      <c r="E470" s="4">
        <v>6984</v>
      </c>
      <c r="F470" s="3" t="s">
        <v>75</v>
      </c>
      <c r="G470" s="3" t="s">
        <v>16</v>
      </c>
      <c r="H470" s="3" t="str">
        <f>VLOOKUP(B470,'[1]Select territorios'!$C:$L,10,0)</f>
        <v>8.60981575</v>
      </c>
      <c r="I470" s="3" t="str">
        <f>VLOOKUP(B470,'[1]Select territorios'!$C:$M,11,0)</f>
        <v>-73.63565621</v>
      </c>
      <c r="J470" s="5" t="s">
        <v>71</v>
      </c>
      <c r="K470" s="5">
        <v>1065818056</v>
      </c>
      <c r="L470" s="5">
        <v>3145467066</v>
      </c>
      <c r="M470" s="5" t="s">
        <v>72</v>
      </c>
    </row>
    <row r="471" spans="1:13" ht="15.75" x14ac:dyDescent="0.25">
      <c r="A471" s="3">
        <v>6971</v>
      </c>
      <c r="B471" s="3">
        <v>43819</v>
      </c>
      <c r="C471" s="3" t="s">
        <v>1005</v>
      </c>
      <c r="D471" s="3" t="s">
        <v>1006</v>
      </c>
      <c r="E471" s="4">
        <v>6972</v>
      </c>
      <c r="F471" s="3" t="s">
        <v>173</v>
      </c>
      <c r="G471" s="3" t="s">
        <v>27</v>
      </c>
      <c r="H471" s="3" t="str">
        <f>VLOOKUP(B471,'[1]Select territorios'!$C:$L,10,0)</f>
        <v>8.3138248</v>
      </c>
      <c r="I471" s="3" t="str">
        <f>VLOOKUP(B471,'[1]Select territorios'!$C:$M,11,0)</f>
        <v>-73.6111953</v>
      </c>
      <c r="J471" s="5" t="s">
        <v>71</v>
      </c>
      <c r="K471" s="5">
        <v>1065818056</v>
      </c>
      <c r="L471" s="5">
        <v>3145467066</v>
      </c>
      <c r="M471" s="5" t="s">
        <v>72</v>
      </c>
    </row>
    <row r="472" spans="1:13" ht="15.75" x14ac:dyDescent="0.25">
      <c r="A472" s="3">
        <v>6971</v>
      </c>
      <c r="B472" s="3">
        <v>44228</v>
      </c>
      <c r="C472" s="3" t="s">
        <v>1007</v>
      </c>
      <c r="D472" s="3" t="s">
        <v>1008</v>
      </c>
      <c r="E472" s="4">
        <v>8558</v>
      </c>
      <c r="F472" s="3" t="s">
        <v>62</v>
      </c>
      <c r="G472" s="3" t="s">
        <v>27</v>
      </c>
      <c r="H472" s="3" t="str">
        <f>VLOOKUP(B472,'[1]Select territorios'!$C:$L,10,0)</f>
        <v>10.4695</v>
      </c>
      <c r="I472" s="3" t="str">
        <f>VLOOKUP(B472,'[1]Select territorios'!$C:$M,11,0)</f>
        <v>-73.268707</v>
      </c>
      <c r="J472" s="5" t="s">
        <v>23</v>
      </c>
      <c r="K472" s="5">
        <v>1065600058</v>
      </c>
      <c r="L472" s="5">
        <v>3123009293</v>
      </c>
      <c r="M472" s="5" t="s">
        <v>24</v>
      </c>
    </row>
    <row r="473" spans="1:13" ht="15.75" x14ac:dyDescent="0.25">
      <c r="A473" s="3">
        <v>6971</v>
      </c>
      <c r="B473" s="3">
        <v>44211</v>
      </c>
      <c r="C473" s="3" t="s">
        <v>1009</v>
      </c>
      <c r="D473" s="3" t="s">
        <v>1010</v>
      </c>
      <c r="E473" s="4">
        <v>8554</v>
      </c>
      <c r="F473" s="3" t="s">
        <v>81</v>
      </c>
      <c r="G473" s="3" t="s">
        <v>27</v>
      </c>
      <c r="H473" s="3" t="str">
        <f>VLOOKUP(B473,'[1]Select territorios'!$C:$L,10,0)</f>
        <v>10.4464</v>
      </c>
      <c r="I473" s="3" t="str">
        <f>VLOOKUP(B473,'[1]Select territorios'!$C:$M,11,0)</f>
        <v>-73.2471</v>
      </c>
      <c r="J473" s="5" t="s">
        <v>40</v>
      </c>
      <c r="K473" s="5">
        <v>1003275622</v>
      </c>
      <c r="L473" s="5">
        <v>3218847746</v>
      </c>
      <c r="M473" s="5" t="s">
        <v>41</v>
      </c>
    </row>
    <row r="474" spans="1:13" ht="15.75" x14ac:dyDescent="0.25">
      <c r="A474" s="3">
        <v>6971</v>
      </c>
      <c r="B474" s="3">
        <v>43899</v>
      </c>
      <c r="C474" s="3" t="s">
        <v>1011</v>
      </c>
      <c r="D474" s="3" t="s">
        <v>1012</v>
      </c>
      <c r="E474" s="4">
        <v>18935</v>
      </c>
      <c r="F474" s="3" t="s">
        <v>44</v>
      </c>
      <c r="G474" s="3" t="s">
        <v>16</v>
      </c>
      <c r="H474" s="3" t="str">
        <f>VLOOKUP(B474,'[1]Select territorios'!$C:$L,10,0)</f>
        <v>10.4593</v>
      </c>
      <c r="I474" s="3" t="str">
        <f>VLOOKUP(B474,'[1]Select territorios'!$C:$M,11,0)</f>
        <v>-73.25</v>
      </c>
      <c r="J474" s="5" t="s">
        <v>40</v>
      </c>
      <c r="K474" s="5">
        <v>1003275622</v>
      </c>
      <c r="L474" s="5">
        <v>3218847746</v>
      </c>
      <c r="M474" s="5" t="s">
        <v>41</v>
      </c>
    </row>
    <row r="475" spans="1:13" ht="15.75" x14ac:dyDescent="0.25">
      <c r="A475" s="3">
        <v>6971</v>
      </c>
      <c r="B475" s="3">
        <v>44342</v>
      </c>
      <c r="C475" s="3" t="s">
        <v>1013</v>
      </c>
      <c r="D475" s="3" t="s">
        <v>1014</v>
      </c>
      <c r="E475" s="4">
        <v>44808</v>
      </c>
      <c r="F475" s="3" t="s">
        <v>245</v>
      </c>
      <c r="G475" s="3" t="s">
        <v>27</v>
      </c>
      <c r="H475" s="3" t="str">
        <f>VLOOKUP(B475,'[1]Select territorios'!$C:$L,10,0)</f>
        <v>9.286922</v>
      </c>
      <c r="I475" s="3" t="str">
        <f>VLOOKUP(B475,'[1]Select territorios'!$C:$M,11,0)</f>
        <v>-73.511557</v>
      </c>
      <c r="J475" s="5" t="s">
        <v>58</v>
      </c>
      <c r="K475" s="5">
        <v>1193146338</v>
      </c>
      <c r="L475" s="5">
        <v>3202114923</v>
      </c>
      <c r="M475" s="5" t="s">
        <v>59</v>
      </c>
    </row>
    <row r="476" spans="1:13" ht="15.75" x14ac:dyDescent="0.25">
      <c r="A476" s="3">
        <v>6971</v>
      </c>
      <c r="B476" s="3">
        <v>44315</v>
      </c>
      <c r="C476" s="3" t="s">
        <v>1015</v>
      </c>
      <c r="D476" s="3" t="s">
        <v>1016</v>
      </c>
      <c r="E476" s="4">
        <v>6990</v>
      </c>
      <c r="F476" s="3" t="s">
        <v>131</v>
      </c>
      <c r="G476" s="3" t="s">
        <v>27</v>
      </c>
      <c r="H476" s="3" t="str">
        <f>VLOOKUP(B476,'[1]Select territorios'!$C:$L,10,0)</f>
        <v>8.954001</v>
      </c>
      <c r="I476" s="3" t="str">
        <f>VLOOKUP(B476,'[1]Select territorios'!$C:$M,11,0)</f>
        <v>-73.625653</v>
      </c>
      <c r="J476" s="5" t="s">
        <v>71</v>
      </c>
      <c r="K476" s="5">
        <v>1065818056</v>
      </c>
      <c r="L476" s="5">
        <v>3145467066</v>
      </c>
      <c r="M476" s="5" t="s">
        <v>72</v>
      </c>
    </row>
    <row r="477" spans="1:13" ht="15.75" x14ac:dyDescent="0.25">
      <c r="A477" s="3">
        <v>6971</v>
      </c>
      <c r="B477" s="3">
        <v>43747</v>
      </c>
      <c r="C477" s="3" t="s">
        <v>1017</v>
      </c>
      <c r="D477" s="3" t="s">
        <v>1018</v>
      </c>
      <c r="E477" s="4">
        <v>6984</v>
      </c>
      <c r="F477" s="3" t="s">
        <v>75</v>
      </c>
      <c r="G477" s="3" t="s">
        <v>16</v>
      </c>
      <c r="H477" s="3" t="str">
        <f>VLOOKUP(B477,'[1]Select territorios'!$C:$L,10,0)</f>
        <v>8.618722278</v>
      </c>
      <c r="I477" s="3" t="str">
        <f>VLOOKUP(B477,'[1]Select territorios'!$C:$M,11,0)</f>
        <v>-73.80460563</v>
      </c>
      <c r="J477" s="5" t="s">
        <v>71</v>
      </c>
      <c r="K477" s="5">
        <v>1065818056</v>
      </c>
      <c r="L477" s="5">
        <v>3145467066</v>
      </c>
      <c r="M477" s="5" t="s">
        <v>72</v>
      </c>
    </row>
    <row r="478" spans="1:13" ht="15.75" x14ac:dyDescent="0.25">
      <c r="A478" s="3">
        <v>6971</v>
      </c>
      <c r="B478" s="3">
        <v>44356</v>
      </c>
      <c r="C478" s="3" t="s">
        <v>1019</v>
      </c>
      <c r="D478" s="3" t="s">
        <v>1020</v>
      </c>
      <c r="E478" s="4">
        <v>9206</v>
      </c>
      <c r="F478" s="3" t="s">
        <v>33</v>
      </c>
      <c r="G478" s="3" t="s">
        <v>27</v>
      </c>
      <c r="H478" s="3" t="str">
        <f>VLOOKUP(B478,'[1]Select territorios'!$C:$L,10,0)</f>
        <v>10.443637</v>
      </c>
      <c r="I478" s="3" t="str">
        <f>VLOOKUP(B478,'[1]Select territorios'!$C:$M,11,0)</f>
        <v>-73.270239</v>
      </c>
      <c r="J478" s="5" t="s">
        <v>17</v>
      </c>
      <c r="K478" s="5">
        <v>15173890</v>
      </c>
      <c r="L478" s="5">
        <v>3002039991</v>
      </c>
      <c r="M478" s="5" t="s">
        <v>18</v>
      </c>
    </row>
    <row r="479" spans="1:13" ht="15.75" x14ac:dyDescent="0.25">
      <c r="A479" s="3">
        <v>6971</v>
      </c>
      <c r="B479" s="3">
        <v>44359</v>
      </c>
      <c r="C479" s="3" t="s">
        <v>1021</v>
      </c>
      <c r="D479" s="3" t="s">
        <v>1022</v>
      </c>
      <c r="E479" s="4">
        <v>17176</v>
      </c>
      <c r="F479" s="3" t="s">
        <v>189</v>
      </c>
      <c r="G479" s="3" t="s">
        <v>27</v>
      </c>
      <c r="H479" s="3" t="str">
        <f>VLOOKUP(B479,'[1]Select territorios'!$C:$L,10,0)</f>
        <v>10.456</v>
      </c>
      <c r="I479" s="3" t="str">
        <f>VLOOKUP(B479,'[1]Select territorios'!$C:$M,11,0)</f>
        <v>-73.2401</v>
      </c>
      <c r="J479" s="5" t="s">
        <v>40</v>
      </c>
      <c r="K479" s="5">
        <v>1003275622</v>
      </c>
      <c r="L479" s="5">
        <v>3218847746</v>
      </c>
      <c r="M479" s="5" t="s">
        <v>41</v>
      </c>
    </row>
    <row r="480" spans="1:13" ht="15.75" x14ac:dyDescent="0.25">
      <c r="A480" s="3">
        <v>6971</v>
      </c>
      <c r="B480" s="3">
        <v>44354</v>
      </c>
      <c r="C480" s="3" t="s">
        <v>1023</v>
      </c>
      <c r="D480" s="3" t="s">
        <v>1024</v>
      </c>
      <c r="E480" s="4">
        <v>17176</v>
      </c>
      <c r="F480" s="3" t="s">
        <v>189</v>
      </c>
      <c r="G480" s="3" t="s">
        <v>27</v>
      </c>
      <c r="H480" s="3" t="str">
        <f>VLOOKUP(B480,'[1]Select territorios'!$C:$L,10,0)</f>
        <v>10.4591</v>
      </c>
      <c r="I480" s="3" t="str">
        <f>VLOOKUP(B480,'[1]Select territorios'!$C:$M,11,0)</f>
        <v>-73.2332</v>
      </c>
      <c r="J480" s="5" t="s">
        <v>40</v>
      </c>
      <c r="K480" s="5">
        <v>1003275622</v>
      </c>
      <c r="L480" s="5">
        <v>3218847746</v>
      </c>
      <c r="M480" s="5" t="s">
        <v>41</v>
      </c>
    </row>
    <row r="481" spans="1:13" ht="15.75" x14ac:dyDescent="0.25">
      <c r="A481" s="3">
        <v>6971</v>
      </c>
      <c r="B481" s="3">
        <v>44420</v>
      </c>
      <c r="C481" s="3" t="s">
        <v>1025</v>
      </c>
      <c r="D481" s="3" t="s">
        <v>1026</v>
      </c>
      <c r="E481" s="4">
        <v>8562</v>
      </c>
      <c r="F481" s="3" t="s">
        <v>118</v>
      </c>
      <c r="G481" s="3" t="s">
        <v>27</v>
      </c>
      <c r="H481" s="3" t="str">
        <f>VLOOKUP(B481,'[1]Select territorios'!$C:$L,10,0)</f>
        <v>8.309911</v>
      </c>
      <c r="I481" s="3" t="str">
        <f>VLOOKUP(B481,'[1]Select territorios'!$C:$M,11,0)</f>
        <v>-73.627536</v>
      </c>
      <c r="J481" s="5" t="s">
        <v>71</v>
      </c>
      <c r="K481" s="5">
        <v>1065818056</v>
      </c>
      <c r="L481" s="5">
        <v>3145467066</v>
      </c>
      <c r="M481" s="5" t="s">
        <v>72</v>
      </c>
    </row>
    <row r="482" spans="1:13" ht="15.75" x14ac:dyDescent="0.25">
      <c r="A482" s="3">
        <v>6971</v>
      </c>
      <c r="B482" s="3">
        <v>44444</v>
      </c>
      <c r="C482" s="3" t="s">
        <v>1027</v>
      </c>
      <c r="D482" s="3" t="s">
        <v>1028</v>
      </c>
      <c r="E482" s="4">
        <v>18935</v>
      </c>
      <c r="F482" s="3" t="s">
        <v>44</v>
      </c>
      <c r="G482" s="3" t="s">
        <v>27</v>
      </c>
      <c r="H482" s="3" t="str">
        <f>VLOOKUP(B482,'[1]Select territorios'!$C:$L,10,0)</f>
        <v>10.4515</v>
      </c>
      <c r="I482" s="3" t="str">
        <f>VLOOKUP(B482,'[1]Select territorios'!$C:$M,11,0)</f>
        <v>-73.2558</v>
      </c>
      <c r="J482" s="5" t="s">
        <v>40</v>
      </c>
      <c r="K482" s="5">
        <v>1003275622</v>
      </c>
      <c r="L482" s="5">
        <v>3218847746</v>
      </c>
      <c r="M482" s="5" t="s">
        <v>41</v>
      </c>
    </row>
    <row r="483" spans="1:13" ht="15.75" x14ac:dyDescent="0.25">
      <c r="A483" s="3">
        <v>6971</v>
      </c>
      <c r="B483" s="3">
        <v>44438</v>
      </c>
      <c r="C483" s="3" t="s">
        <v>1029</v>
      </c>
      <c r="D483" s="3" t="s">
        <v>1030</v>
      </c>
      <c r="E483" s="4">
        <v>6985</v>
      </c>
      <c r="F483" s="3" t="s">
        <v>101</v>
      </c>
      <c r="G483" s="3" t="s">
        <v>27</v>
      </c>
      <c r="H483" s="3" t="str">
        <f>VLOOKUP(B483,'[1]Select territorios'!$C:$L,10,0)</f>
        <v>9.5629</v>
      </c>
      <c r="I483" s="3" t="str">
        <f>VLOOKUP(B483,'[1]Select territorios'!$C:$M,11,0)</f>
        <v>-73.3326</v>
      </c>
      <c r="J483" s="5" t="s">
        <v>58</v>
      </c>
      <c r="K483" s="5">
        <v>1193146338</v>
      </c>
      <c r="L483" s="5">
        <v>3202114923</v>
      </c>
      <c r="M483" s="5" t="s">
        <v>59</v>
      </c>
    </row>
    <row r="484" spans="1:13" ht="15.75" x14ac:dyDescent="0.25">
      <c r="A484" s="3">
        <v>6971</v>
      </c>
      <c r="B484" s="3">
        <v>44463</v>
      </c>
      <c r="C484" s="3" t="s">
        <v>1031</v>
      </c>
      <c r="D484" s="3" t="s">
        <v>1032</v>
      </c>
      <c r="E484" s="4">
        <v>8553</v>
      </c>
      <c r="F484" s="3" t="s">
        <v>15</v>
      </c>
      <c r="G484" s="3" t="s">
        <v>631</v>
      </c>
      <c r="H484" s="3" t="str">
        <f>VLOOKUP(B484,'[1]Select territorios'!$C:$L,10,0)</f>
        <v>10.47312</v>
      </c>
      <c r="I484" s="3" t="str">
        <f>VLOOKUP(B484,'[1]Select territorios'!$C:$M,11,0)</f>
        <v>-73.2923902</v>
      </c>
      <c r="J484" s="5" t="s">
        <v>17</v>
      </c>
      <c r="K484" s="5">
        <v>15173890</v>
      </c>
      <c r="L484" s="5">
        <v>3002039991</v>
      </c>
      <c r="M484" s="5" t="s">
        <v>18</v>
      </c>
    </row>
    <row r="485" spans="1:13" ht="15.75" x14ac:dyDescent="0.25">
      <c r="A485" s="3">
        <v>6971</v>
      </c>
      <c r="B485" s="3">
        <v>44394</v>
      </c>
      <c r="C485" s="3" t="s">
        <v>1033</v>
      </c>
      <c r="D485" s="3" t="s">
        <v>1034</v>
      </c>
      <c r="E485" s="4">
        <v>17191</v>
      </c>
      <c r="F485" s="3" t="s">
        <v>186</v>
      </c>
      <c r="G485" s="3" t="s">
        <v>27</v>
      </c>
      <c r="H485" s="3" t="str">
        <f>VLOOKUP(B485,'[1]Select territorios'!$C:$L,10,0)</f>
        <v>10.454032</v>
      </c>
      <c r="I485" s="3" t="str">
        <f>VLOOKUP(B485,'[1]Select territorios'!$C:$M,11,0)</f>
        <v>-73.273417</v>
      </c>
      <c r="J485" s="5" t="s">
        <v>17</v>
      </c>
      <c r="K485" s="5">
        <v>15173890</v>
      </c>
      <c r="L485" s="5">
        <v>3002039991</v>
      </c>
      <c r="M485" s="5" t="s">
        <v>18</v>
      </c>
    </row>
    <row r="486" spans="1:13" ht="15.75" x14ac:dyDescent="0.25">
      <c r="A486" s="3">
        <v>6971</v>
      </c>
      <c r="B486" s="3">
        <v>44483</v>
      </c>
      <c r="C486" s="3" t="s">
        <v>1035</v>
      </c>
      <c r="D486" s="3" t="s">
        <v>1036</v>
      </c>
      <c r="E486" s="4">
        <v>6985</v>
      </c>
      <c r="F486" s="3" t="s">
        <v>101</v>
      </c>
      <c r="G486" s="3" t="s">
        <v>631</v>
      </c>
      <c r="H486" s="3" t="str">
        <f>VLOOKUP(B486,'[1]Select territorios'!$C:$L,10,0)</f>
        <v>9.5645</v>
      </c>
      <c r="I486" s="3" t="str">
        <f>VLOOKUP(B486,'[1]Select territorios'!$C:$M,11,0)</f>
        <v>-73.3349</v>
      </c>
      <c r="J486" s="5" t="s">
        <v>58</v>
      </c>
      <c r="K486" s="5">
        <v>1193146338</v>
      </c>
      <c r="L486" s="5">
        <v>3202114923</v>
      </c>
      <c r="M486" s="5" t="s">
        <v>59</v>
      </c>
    </row>
    <row r="487" spans="1:13" ht="15.75" x14ac:dyDescent="0.25">
      <c r="A487" s="3">
        <v>6971</v>
      </c>
      <c r="B487" s="3">
        <v>44448</v>
      </c>
      <c r="C487" s="3" t="s">
        <v>1037</v>
      </c>
      <c r="D487" s="3" t="s">
        <v>1038</v>
      </c>
      <c r="E487" s="4">
        <v>17176</v>
      </c>
      <c r="F487" s="3" t="s">
        <v>189</v>
      </c>
      <c r="G487" s="3" t="s">
        <v>27</v>
      </c>
      <c r="H487" s="3" t="str">
        <f>VLOOKUP(B487,'[1]Select territorios'!$C:$L,10,0)</f>
        <v>10.465</v>
      </c>
      <c r="I487" s="3" t="str">
        <f>VLOOKUP(B487,'[1]Select territorios'!$C:$M,11,0)</f>
        <v>-73.2362</v>
      </c>
      <c r="J487" s="5" t="s">
        <v>40</v>
      </c>
      <c r="K487" s="5">
        <v>1003275622</v>
      </c>
      <c r="L487" s="5">
        <v>3218847746</v>
      </c>
      <c r="M487" s="5" t="s">
        <v>41</v>
      </c>
    </row>
    <row r="488" spans="1:13" ht="15.75" x14ac:dyDescent="0.25">
      <c r="A488" s="3">
        <v>6971</v>
      </c>
      <c r="B488" s="3">
        <v>44258</v>
      </c>
      <c r="C488" s="3" t="s">
        <v>1039</v>
      </c>
      <c r="D488" s="3" t="s">
        <v>1040</v>
      </c>
      <c r="E488" s="4">
        <v>8556</v>
      </c>
      <c r="F488" s="3" t="s">
        <v>36</v>
      </c>
      <c r="G488" s="3" t="s">
        <v>27</v>
      </c>
      <c r="H488" s="3" t="str">
        <f>VLOOKUP(B488,'[1]Select territorios'!$C:$L,10,0)</f>
        <v>10.4744</v>
      </c>
      <c r="I488" s="3" t="str">
        <f>VLOOKUP(B488,'[1]Select territorios'!$C:$M,11,0)</f>
        <v>-73.2438</v>
      </c>
      <c r="J488" s="5" t="s">
        <v>23</v>
      </c>
      <c r="K488" s="5">
        <v>1065600058</v>
      </c>
      <c r="L488" s="5">
        <v>3123009293</v>
      </c>
      <c r="M488" s="5" t="s">
        <v>24</v>
      </c>
    </row>
    <row r="489" spans="1:13" ht="15.75" x14ac:dyDescent="0.25">
      <c r="A489" s="3">
        <v>6971</v>
      </c>
      <c r="B489" s="3">
        <v>44262</v>
      </c>
      <c r="C489" s="3" t="s">
        <v>1041</v>
      </c>
      <c r="D489" s="3" t="s">
        <v>1042</v>
      </c>
      <c r="E489" s="4">
        <v>8556</v>
      </c>
      <c r="F489" s="3" t="s">
        <v>36</v>
      </c>
      <c r="G489" s="3" t="s">
        <v>27</v>
      </c>
      <c r="H489" s="3" t="str">
        <f>VLOOKUP(B489,'[1]Select territorios'!$C:$L,10,0)</f>
        <v>10.4655</v>
      </c>
      <c r="I489" s="3" t="str">
        <f>VLOOKUP(B489,'[1]Select territorios'!$C:$M,11,0)</f>
        <v>-73.2434</v>
      </c>
      <c r="J489" s="5" t="s">
        <v>23</v>
      </c>
      <c r="K489" s="5">
        <v>1065600058</v>
      </c>
      <c r="L489" s="5">
        <v>3123009293</v>
      </c>
      <c r="M489" s="5" t="s">
        <v>24</v>
      </c>
    </row>
    <row r="490" spans="1:13" ht="15.75" x14ac:dyDescent="0.25">
      <c r="A490" s="3">
        <v>6971</v>
      </c>
      <c r="B490" s="3">
        <v>44467</v>
      </c>
      <c r="C490" s="3" t="s">
        <v>1043</v>
      </c>
      <c r="D490" s="3" t="s">
        <v>1044</v>
      </c>
      <c r="E490" s="4">
        <v>42463</v>
      </c>
      <c r="F490" s="3" t="s">
        <v>377</v>
      </c>
      <c r="G490" s="3" t="s">
        <v>27</v>
      </c>
      <c r="H490" s="3" t="str">
        <f>VLOOKUP(B490,'[1]Select territorios'!$C:$L,10,0)</f>
        <v>10.034657</v>
      </c>
      <c r="I490" s="3" t="str">
        <f>VLOOKUP(B490,'[1]Select territorios'!$C:$M,11,0)</f>
        <v>-73.234216</v>
      </c>
      <c r="J490" s="5" t="s">
        <v>58</v>
      </c>
      <c r="K490" s="5">
        <v>1193146338</v>
      </c>
      <c r="L490" s="5">
        <v>3202114923</v>
      </c>
      <c r="M490" s="5" t="s">
        <v>59</v>
      </c>
    </row>
    <row r="491" spans="1:13" ht="15.75" x14ac:dyDescent="0.25">
      <c r="A491" s="3">
        <v>6971</v>
      </c>
      <c r="B491" s="3">
        <v>44517</v>
      </c>
      <c r="C491" s="3" t="s">
        <v>1045</v>
      </c>
      <c r="D491" s="3" t="s">
        <v>1046</v>
      </c>
      <c r="E491" s="4">
        <v>9206</v>
      </c>
      <c r="F491" s="3" t="s">
        <v>33</v>
      </c>
      <c r="G491" s="3" t="s">
        <v>16</v>
      </c>
      <c r="H491" s="3" t="str">
        <f>VLOOKUP(B491,'[1]Select territorios'!$C:$L,10,0)</f>
        <v>10.449519</v>
      </c>
      <c r="I491" s="3" t="str">
        <f>VLOOKUP(B491,'[1]Select territorios'!$C:$M,11,0)</f>
        <v>-73.268782</v>
      </c>
      <c r="J491" s="5" t="s">
        <v>17</v>
      </c>
      <c r="K491" s="5">
        <v>15173890</v>
      </c>
      <c r="L491" s="5">
        <v>3002039991</v>
      </c>
      <c r="M491" s="5" t="s">
        <v>18</v>
      </c>
    </row>
    <row r="492" spans="1:13" ht="15.75" x14ac:dyDescent="0.25">
      <c r="A492" s="3">
        <v>6971</v>
      </c>
      <c r="B492" s="3">
        <v>44447</v>
      </c>
      <c r="C492" s="3" t="s">
        <v>1047</v>
      </c>
      <c r="D492" s="3" t="s">
        <v>1048</v>
      </c>
      <c r="E492" s="4">
        <v>8560</v>
      </c>
      <c r="F492" s="3" t="s">
        <v>161</v>
      </c>
      <c r="G492" s="3" t="s">
        <v>16</v>
      </c>
      <c r="H492" s="3" t="str">
        <f>VLOOKUP(B492,'[1]Select territorios'!$C:$L,10,0)</f>
        <v>8.31792</v>
      </c>
      <c r="I492" s="3" t="str">
        <f>VLOOKUP(B492,'[1]Select territorios'!$C:$M,11,0)</f>
        <v>-73.603476</v>
      </c>
      <c r="J492" s="5" t="s">
        <v>107</v>
      </c>
      <c r="K492" s="5">
        <v>1005281494</v>
      </c>
      <c r="L492" s="5">
        <v>3158541035</v>
      </c>
      <c r="M492" s="5" t="s">
        <v>108</v>
      </c>
    </row>
    <row r="493" spans="1:13" ht="15.75" x14ac:dyDescent="0.25">
      <c r="A493" s="3">
        <v>6971</v>
      </c>
      <c r="B493" s="3">
        <v>44365</v>
      </c>
      <c r="C493" s="3" t="s">
        <v>1049</v>
      </c>
      <c r="D493" s="3" t="s">
        <v>1050</v>
      </c>
      <c r="E493" s="4">
        <v>7001</v>
      </c>
      <c r="F493" s="3" t="s">
        <v>55</v>
      </c>
      <c r="G493" s="3" t="s">
        <v>27</v>
      </c>
      <c r="H493" s="3" t="str">
        <f>VLOOKUP(B493,'[1]Select territorios'!$C:$L,10,0)</f>
        <v>10.4703</v>
      </c>
      <c r="I493" s="3" t="str">
        <f>VLOOKUP(B493,'[1]Select territorios'!$C:$M,11,0)</f>
        <v>-73.2569</v>
      </c>
      <c r="J493" s="5" t="s">
        <v>23</v>
      </c>
      <c r="K493" s="5">
        <v>1065600058</v>
      </c>
      <c r="L493" s="5">
        <v>3123009293</v>
      </c>
      <c r="M493" s="5" t="s">
        <v>24</v>
      </c>
    </row>
    <row r="494" spans="1:13" ht="15.75" x14ac:dyDescent="0.25">
      <c r="A494" s="3">
        <v>6971</v>
      </c>
      <c r="B494" s="3">
        <v>44572</v>
      </c>
      <c r="C494" s="3" t="s">
        <v>1051</v>
      </c>
      <c r="D494" s="3" t="s">
        <v>1052</v>
      </c>
      <c r="E494" s="4">
        <v>6979</v>
      </c>
      <c r="F494" s="3" t="s">
        <v>57</v>
      </c>
      <c r="G494" s="3" t="s">
        <v>631</v>
      </c>
      <c r="H494" s="3" t="str">
        <f>VLOOKUP(B494,'[1]Select territorios'!$C:$L,10,0)</f>
        <v>9.202565</v>
      </c>
      <c r="I494" s="3" t="str">
        <f>VLOOKUP(B494,'[1]Select territorios'!$C:$M,11,0)</f>
        <v>-73.549558</v>
      </c>
      <c r="J494" s="5" t="s">
        <v>58</v>
      </c>
      <c r="K494" s="5">
        <v>1193146338</v>
      </c>
      <c r="L494" s="5">
        <v>3202114923</v>
      </c>
      <c r="M494" s="5" t="s">
        <v>59</v>
      </c>
    </row>
    <row r="495" spans="1:13" ht="15.75" x14ac:dyDescent="0.25">
      <c r="A495" s="3">
        <v>6971</v>
      </c>
      <c r="B495" s="3">
        <v>44259</v>
      </c>
      <c r="C495" s="3" t="s">
        <v>1053</v>
      </c>
      <c r="D495" s="3" t="s">
        <v>1054</v>
      </c>
      <c r="E495" s="4">
        <v>18936</v>
      </c>
      <c r="F495" s="3" t="s">
        <v>21</v>
      </c>
      <c r="G495" s="3" t="s">
        <v>27</v>
      </c>
      <c r="H495" s="3" t="str">
        <f>VLOOKUP(B495,'[1]Select territorios'!$C:$L,10,0)</f>
        <v>10.479396</v>
      </c>
      <c r="I495" s="3" t="str">
        <f>VLOOKUP(B495,'[1]Select territorios'!$C:$M,11,0)</f>
        <v>-73.250769</v>
      </c>
      <c r="J495" s="5" t="s">
        <v>23</v>
      </c>
      <c r="K495" s="5">
        <v>1065600058</v>
      </c>
      <c r="L495" s="5">
        <v>3123009293</v>
      </c>
      <c r="M495" s="5" t="s">
        <v>24</v>
      </c>
    </row>
    <row r="496" spans="1:13" ht="15.75" x14ac:dyDescent="0.25">
      <c r="A496" s="3">
        <v>6971</v>
      </c>
      <c r="B496" s="3">
        <v>44524</v>
      </c>
      <c r="C496" s="3" t="s">
        <v>1055</v>
      </c>
      <c r="D496" s="3" t="s">
        <v>1056</v>
      </c>
      <c r="E496" s="4">
        <v>45386</v>
      </c>
      <c r="F496" s="3" t="s">
        <v>67</v>
      </c>
      <c r="G496" s="3" t="s">
        <v>27</v>
      </c>
      <c r="H496" s="3" t="str">
        <f>VLOOKUP(B496,'[1]Select territorios'!$C:$L,10,0)</f>
        <v>10.431502</v>
      </c>
      <c r="I496" s="3" t="str">
        <f>VLOOKUP(B496,'[1]Select territorios'!$C:$M,11,0)</f>
        <v>-73.252919</v>
      </c>
      <c r="J496" s="5" t="s">
        <v>40</v>
      </c>
      <c r="K496" s="5">
        <v>1003275622</v>
      </c>
      <c r="L496" s="5">
        <v>3218847746</v>
      </c>
      <c r="M496" s="5" t="s">
        <v>41</v>
      </c>
    </row>
    <row r="497" spans="1:13" ht="15.75" x14ac:dyDescent="0.25">
      <c r="A497" s="3">
        <v>6971</v>
      </c>
      <c r="B497" s="3">
        <v>44557</v>
      </c>
      <c r="C497" s="3" t="s">
        <v>1057</v>
      </c>
      <c r="D497" s="3" t="s">
        <v>1058</v>
      </c>
      <c r="E497" s="4">
        <v>6979</v>
      </c>
      <c r="F497" s="3" t="s">
        <v>57</v>
      </c>
      <c r="G497" s="3" t="s">
        <v>27</v>
      </c>
      <c r="H497" s="3" t="str">
        <f>VLOOKUP(B497,'[1]Select territorios'!$C:$L,10,0)</f>
        <v>9.198927</v>
      </c>
      <c r="I497" s="3" t="str">
        <f>VLOOKUP(B497,'[1]Select territorios'!$C:$M,11,0)</f>
        <v>-73.528085</v>
      </c>
      <c r="J497" s="5" t="s">
        <v>58</v>
      </c>
      <c r="K497" s="5">
        <v>1193146338</v>
      </c>
      <c r="L497" s="5">
        <v>3202114923</v>
      </c>
      <c r="M497" s="5" t="s">
        <v>59</v>
      </c>
    </row>
    <row r="498" spans="1:13" ht="15.75" x14ac:dyDescent="0.25">
      <c r="A498" s="3">
        <v>6971</v>
      </c>
      <c r="B498" s="3">
        <v>44468</v>
      </c>
      <c r="C498" s="3" t="s">
        <v>1059</v>
      </c>
      <c r="D498" s="3" t="s">
        <v>1060</v>
      </c>
      <c r="E498" s="4">
        <v>6999</v>
      </c>
      <c r="F498" s="3" t="s">
        <v>260</v>
      </c>
      <c r="G498" s="3" t="s">
        <v>27</v>
      </c>
      <c r="H498" s="3" t="str">
        <f>VLOOKUP(B498,'[1]Select territorios'!$C:$L,10,0)</f>
        <v>8.86131553</v>
      </c>
      <c r="I498" s="3" t="str">
        <f>VLOOKUP(B498,'[1]Select territorios'!$C:$M,11,0)</f>
        <v>-73.83516993</v>
      </c>
      <c r="J498" s="5" t="s">
        <v>71</v>
      </c>
      <c r="K498" s="5">
        <v>1065818056</v>
      </c>
      <c r="L498" s="5">
        <v>3145467066</v>
      </c>
      <c r="M498" s="5" t="s">
        <v>72</v>
      </c>
    </row>
    <row r="499" spans="1:13" ht="15.75" x14ac:dyDescent="0.25">
      <c r="A499" s="3">
        <v>6971</v>
      </c>
      <c r="B499" s="3">
        <v>44558</v>
      </c>
      <c r="C499" s="3" t="s">
        <v>1061</v>
      </c>
      <c r="D499" s="3" t="s">
        <v>1062</v>
      </c>
      <c r="E499" s="4">
        <v>45388</v>
      </c>
      <c r="F499" s="3" t="s">
        <v>196</v>
      </c>
      <c r="G499" s="3" t="s">
        <v>27</v>
      </c>
      <c r="H499" s="3" t="str">
        <f>VLOOKUP(B499,'[1]Select territorios'!$C:$L,10,0)</f>
        <v>9.9734</v>
      </c>
      <c r="I499" s="3" t="str">
        <f>VLOOKUP(B499,'[1]Select territorios'!$C:$M,11,0)</f>
        <v>-73.8866</v>
      </c>
      <c r="J499" s="5" t="s">
        <v>48</v>
      </c>
      <c r="K499" s="5">
        <v>1064795379</v>
      </c>
      <c r="L499" s="5">
        <v>3104688587</v>
      </c>
      <c r="M499" s="5" t="s">
        <v>49</v>
      </c>
    </row>
    <row r="500" spans="1:13" ht="15.75" x14ac:dyDescent="0.25">
      <c r="A500" s="3">
        <v>6971</v>
      </c>
      <c r="B500" s="3">
        <v>44556</v>
      </c>
      <c r="C500" s="3" t="s">
        <v>1063</v>
      </c>
      <c r="D500" s="3" t="s">
        <v>1064</v>
      </c>
      <c r="E500" s="4">
        <v>6972</v>
      </c>
      <c r="F500" s="3" t="s">
        <v>173</v>
      </c>
      <c r="G500" s="3" t="s">
        <v>27</v>
      </c>
      <c r="H500" s="3" t="str">
        <f>VLOOKUP(B500,'[1]Select territorios'!$C:$L,10,0)</f>
        <v>8.3066658</v>
      </c>
      <c r="I500" s="3" t="str">
        <f>VLOOKUP(B500,'[1]Select territorios'!$C:$M,11,0)</f>
        <v>-73.60448</v>
      </c>
      <c r="J500" s="5" t="s">
        <v>71</v>
      </c>
      <c r="K500" s="5">
        <v>1065818056</v>
      </c>
      <c r="L500" s="5">
        <v>3145467066</v>
      </c>
      <c r="M500" s="5" t="s">
        <v>72</v>
      </c>
    </row>
    <row r="501" spans="1:13" ht="15.75" x14ac:dyDescent="0.25">
      <c r="A501" s="3">
        <v>6971</v>
      </c>
      <c r="B501" s="3">
        <v>44677</v>
      </c>
      <c r="C501" s="3" t="s">
        <v>1065</v>
      </c>
      <c r="D501" s="3" t="s">
        <v>1066</v>
      </c>
      <c r="E501" s="4">
        <v>6990</v>
      </c>
      <c r="F501" s="3" t="s">
        <v>131</v>
      </c>
      <c r="G501" s="3" t="s">
        <v>27</v>
      </c>
      <c r="H501" s="3" t="str">
        <f>VLOOKUP(B501,'[1]Select territorios'!$C:$L,10,0)</f>
        <v>8.843373</v>
      </c>
      <c r="I501" s="3" t="str">
        <f>VLOOKUP(B501,'[1]Select territorios'!$C:$M,11,0)</f>
        <v>-73.675308</v>
      </c>
      <c r="J501" s="5" t="s">
        <v>71</v>
      </c>
      <c r="K501" s="5">
        <v>1065818056</v>
      </c>
      <c r="L501" s="5">
        <v>3145467066</v>
      </c>
      <c r="M501" s="5" t="s">
        <v>72</v>
      </c>
    </row>
    <row r="502" spans="1:13" ht="15.75" x14ac:dyDescent="0.25">
      <c r="A502" s="3">
        <v>6971</v>
      </c>
      <c r="B502" s="3">
        <v>44620</v>
      </c>
      <c r="C502" s="3" t="s">
        <v>1067</v>
      </c>
      <c r="D502" s="3" t="s">
        <v>1068</v>
      </c>
      <c r="E502" s="4">
        <v>6978</v>
      </c>
      <c r="F502" s="3" t="s">
        <v>91</v>
      </c>
      <c r="G502" s="3" t="s">
        <v>27</v>
      </c>
      <c r="H502" s="3" t="str">
        <f>VLOOKUP(B502,'[1]Select territorios'!$C:$L,10,0)</f>
        <v>10.03656</v>
      </c>
      <c r="I502" s="3" t="str">
        <f>VLOOKUP(B502,'[1]Select territorios'!$C:$M,11,0)</f>
        <v>-73.24411</v>
      </c>
      <c r="J502" s="5" t="s">
        <v>58</v>
      </c>
      <c r="K502" s="5">
        <v>1193146338</v>
      </c>
      <c r="L502" s="5">
        <v>3202114923</v>
      </c>
      <c r="M502" s="5" t="s">
        <v>59</v>
      </c>
    </row>
    <row r="503" spans="1:13" ht="15.75" x14ac:dyDescent="0.25">
      <c r="A503" s="3">
        <v>6971</v>
      </c>
      <c r="B503" s="3">
        <v>44636</v>
      </c>
      <c r="C503" s="3" t="s">
        <v>1069</v>
      </c>
      <c r="D503" s="3" t="s">
        <v>1070</v>
      </c>
      <c r="E503" s="4">
        <v>18935</v>
      </c>
      <c r="F503" s="3" t="s">
        <v>44</v>
      </c>
      <c r="G503" s="3" t="s">
        <v>27</v>
      </c>
      <c r="H503" s="3" t="str">
        <f>VLOOKUP(B503,'[1]Select territorios'!$C:$L,10,0)</f>
        <v>10.45775</v>
      </c>
      <c r="I503" s="3" t="str">
        <f>VLOOKUP(B503,'[1]Select territorios'!$C:$M,11,0)</f>
        <v>-73.24673</v>
      </c>
      <c r="J503" s="5" t="s">
        <v>40</v>
      </c>
      <c r="K503" s="5">
        <v>1003275622</v>
      </c>
      <c r="L503" s="5">
        <v>3218847746</v>
      </c>
      <c r="M503" s="5" t="s">
        <v>41</v>
      </c>
    </row>
    <row r="504" spans="1:13" ht="15.75" x14ac:dyDescent="0.25">
      <c r="A504" s="3">
        <v>6971</v>
      </c>
      <c r="B504" s="3">
        <v>44638</v>
      </c>
      <c r="C504" s="3" t="s">
        <v>1071</v>
      </c>
      <c r="D504" s="3" t="s">
        <v>1072</v>
      </c>
      <c r="E504" s="4">
        <v>7001</v>
      </c>
      <c r="F504" s="3" t="s">
        <v>55</v>
      </c>
      <c r="G504" s="3" t="s">
        <v>27</v>
      </c>
      <c r="H504" s="3" t="str">
        <f>VLOOKUP(B504,'[1]Select territorios'!$C:$L,10,0)</f>
        <v>10.4704</v>
      </c>
      <c r="I504" s="3" t="str">
        <f>VLOOKUP(B504,'[1]Select territorios'!$C:$M,11,0)</f>
        <v>-73.2547</v>
      </c>
      <c r="J504" s="5" t="s">
        <v>23</v>
      </c>
      <c r="K504" s="5">
        <v>1065600058</v>
      </c>
      <c r="L504" s="5">
        <v>3123009293</v>
      </c>
      <c r="M504" s="5" t="s">
        <v>24</v>
      </c>
    </row>
    <row r="505" spans="1:13" ht="15.75" x14ac:dyDescent="0.25">
      <c r="A505" s="3">
        <v>6971</v>
      </c>
      <c r="B505" s="3">
        <v>44530</v>
      </c>
      <c r="C505" s="3" t="s">
        <v>1073</v>
      </c>
      <c r="D505" s="3" t="s">
        <v>1074</v>
      </c>
      <c r="E505" s="4">
        <v>6985</v>
      </c>
      <c r="F505" s="3" t="s">
        <v>101</v>
      </c>
      <c r="G505" s="3" t="s">
        <v>27</v>
      </c>
      <c r="H505" s="3" t="str">
        <f>VLOOKUP(B505,'[1]Select territorios'!$C:$L,10,0)</f>
        <v>9.56515</v>
      </c>
      <c r="I505" s="3" t="str">
        <f>VLOOKUP(B505,'[1]Select territorios'!$C:$M,11,0)</f>
        <v>-73.332176</v>
      </c>
      <c r="J505" s="5" t="s">
        <v>58</v>
      </c>
      <c r="K505" s="5">
        <v>1193146338</v>
      </c>
      <c r="L505" s="5">
        <v>3202114923</v>
      </c>
      <c r="M505" s="5" t="s">
        <v>59</v>
      </c>
    </row>
    <row r="506" spans="1:13" ht="15.75" x14ac:dyDescent="0.25">
      <c r="A506" s="3">
        <v>6971</v>
      </c>
      <c r="B506" s="3">
        <v>44637</v>
      </c>
      <c r="C506" s="3" t="s">
        <v>1075</v>
      </c>
      <c r="D506" s="3" t="s">
        <v>1076</v>
      </c>
      <c r="E506" s="4">
        <v>7001</v>
      </c>
      <c r="F506" s="3" t="s">
        <v>55</v>
      </c>
      <c r="G506" s="3" t="s">
        <v>27</v>
      </c>
      <c r="H506" s="3" t="str">
        <f>VLOOKUP(B506,'[1]Select territorios'!$C:$L,10,0)</f>
        <v>10.4683</v>
      </c>
      <c r="I506" s="3" t="str">
        <f>VLOOKUP(B506,'[1]Select territorios'!$C:$M,11,0)</f>
        <v>-73.2567</v>
      </c>
      <c r="J506" s="5" t="s">
        <v>23</v>
      </c>
      <c r="K506" s="5">
        <v>1065600058</v>
      </c>
      <c r="L506" s="5">
        <v>3123009293</v>
      </c>
      <c r="M506" s="5" t="s">
        <v>24</v>
      </c>
    </row>
    <row r="507" spans="1:13" ht="15.75" x14ac:dyDescent="0.25">
      <c r="A507" s="3">
        <v>6971</v>
      </c>
      <c r="B507" s="3">
        <v>44639</v>
      </c>
      <c r="C507" s="3" t="s">
        <v>1077</v>
      </c>
      <c r="D507" s="3" t="s">
        <v>1078</v>
      </c>
      <c r="E507" s="4">
        <v>7001</v>
      </c>
      <c r="F507" s="3" t="s">
        <v>55</v>
      </c>
      <c r="G507" s="3" t="s">
        <v>27</v>
      </c>
      <c r="H507" s="3" t="str">
        <f>VLOOKUP(B507,'[1]Select territorios'!$C:$L,10,0)</f>
        <v>10.4668</v>
      </c>
      <c r="I507" s="3" t="str">
        <f>VLOOKUP(B507,'[1]Select territorios'!$C:$M,11,0)</f>
        <v>-73.2467</v>
      </c>
      <c r="J507" s="5" t="s">
        <v>23</v>
      </c>
      <c r="K507" s="5">
        <v>1065600058</v>
      </c>
      <c r="L507" s="5">
        <v>3123009293</v>
      </c>
      <c r="M507" s="5" t="s">
        <v>24</v>
      </c>
    </row>
    <row r="508" spans="1:13" ht="15.75" x14ac:dyDescent="0.25">
      <c r="A508" s="3">
        <v>6971</v>
      </c>
      <c r="B508" s="3">
        <v>44640</v>
      </c>
      <c r="C508" s="3" t="s">
        <v>1079</v>
      </c>
      <c r="D508" s="3" t="s">
        <v>1080</v>
      </c>
      <c r="E508" s="4">
        <v>7001</v>
      </c>
      <c r="F508" s="3" t="s">
        <v>55</v>
      </c>
      <c r="G508" s="3" t="s">
        <v>27</v>
      </c>
      <c r="H508" s="3" t="str">
        <f>VLOOKUP(B508,'[1]Select territorios'!$C:$L,10,0)</f>
        <v>10.4673</v>
      </c>
      <c r="I508" s="3" t="str">
        <f>VLOOKUP(B508,'[1]Select territorios'!$C:$M,11,0)</f>
        <v>-73.2529</v>
      </c>
      <c r="J508" s="5" t="s">
        <v>23</v>
      </c>
      <c r="K508" s="5">
        <v>1065600058</v>
      </c>
      <c r="L508" s="5">
        <v>3123009293</v>
      </c>
      <c r="M508" s="5" t="s">
        <v>24</v>
      </c>
    </row>
    <row r="509" spans="1:13" ht="15.75" x14ac:dyDescent="0.25">
      <c r="A509" s="3">
        <v>6971</v>
      </c>
      <c r="B509" s="3">
        <v>44773</v>
      </c>
      <c r="C509" s="3" t="s">
        <v>1081</v>
      </c>
      <c r="D509" s="3" t="s">
        <v>1082</v>
      </c>
      <c r="E509" s="4">
        <v>8561</v>
      </c>
      <c r="F509" s="3" t="s">
        <v>168</v>
      </c>
      <c r="G509" s="3" t="s">
        <v>27</v>
      </c>
      <c r="H509" s="3" t="str">
        <f>VLOOKUP(B509,'[1]Select territorios'!$C:$L,10,0)</f>
        <v>8.01129</v>
      </c>
      <c r="I509" s="3" t="str">
        <f>VLOOKUP(B509,'[1]Select territorios'!$C:$M,11,0)</f>
        <v>-73.719213</v>
      </c>
      <c r="J509" s="5" t="s">
        <v>107</v>
      </c>
      <c r="K509" s="5">
        <v>1005281494</v>
      </c>
      <c r="L509" s="5">
        <v>3158541035</v>
      </c>
      <c r="M509" s="5" t="s">
        <v>108</v>
      </c>
    </row>
    <row r="510" spans="1:13" ht="15.75" x14ac:dyDescent="0.25">
      <c r="A510" s="3">
        <v>6971</v>
      </c>
      <c r="B510" s="3">
        <v>44775</v>
      </c>
      <c r="C510" s="3" t="s">
        <v>1083</v>
      </c>
      <c r="D510" s="3" t="s">
        <v>1084</v>
      </c>
      <c r="E510" s="4">
        <v>8562</v>
      </c>
      <c r="F510" s="3" t="s">
        <v>118</v>
      </c>
      <c r="G510" s="3" t="s">
        <v>27</v>
      </c>
      <c r="H510" s="3" t="str">
        <f>VLOOKUP(B510,'[1]Select territorios'!$C:$L,10,0)</f>
        <v>8.309003</v>
      </c>
      <c r="I510" s="3" t="str">
        <f>VLOOKUP(B510,'[1]Select territorios'!$C:$M,11,0)</f>
        <v>-73.629917</v>
      </c>
      <c r="J510" s="5" t="s">
        <v>71</v>
      </c>
      <c r="K510" s="5">
        <v>1065818056</v>
      </c>
      <c r="L510" s="5">
        <v>3145467066</v>
      </c>
      <c r="M510" s="5" t="s">
        <v>72</v>
      </c>
    </row>
    <row r="511" spans="1:13" ht="15.75" x14ac:dyDescent="0.25">
      <c r="A511" s="3">
        <v>6971</v>
      </c>
      <c r="B511" s="3">
        <v>44723</v>
      </c>
      <c r="C511" s="3" t="s">
        <v>1085</v>
      </c>
      <c r="D511" s="3" t="s">
        <v>1086</v>
      </c>
      <c r="E511" s="4">
        <v>6980</v>
      </c>
      <c r="F511" s="3" t="s">
        <v>384</v>
      </c>
      <c r="G511" s="3" t="s">
        <v>27</v>
      </c>
      <c r="H511" s="3" t="str">
        <f>VLOOKUP(B511,'[1]Select territorios'!$C:$L,10,0)</f>
        <v>10.14251</v>
      </c>
      <c r="I511" s="3" t="str">
        <f>VLOOKUP(B511,'[1]Select territorios'!$C:$M,11,0)</f>
        <v>-73.96843</v>
      </c>
      <c r="J511" s="5" t="s">
        <v>48</v>
      </c>
      <c r="K511" s="5">
        <v>1064795379</v>
      </c>
      <c r="L511" s="5">
        <v>3104688587</v>
      </c>
      <c r="M511" s="5" t="s">
        <v>49</v>
      </c>
    </row>
    <row r="512" spans="1:13" ht="15.75" x14ac:dyDescent="0.25">
      <c r="A512" s="3">
        <v>6971</v>
      </c>
      <c r="B512" s="3">
        <v>44681</v>
      </c>
      <c r="C512" s="3" t="s">
        <v>1087</v>
      </c>
      <c r="D512" s="3" t="s">
        <v>1088</v>
      </c>
      <c r="E512" s="4">
        <v>6991</v>
      </c>
      <c r="F512" s="3" t="s">
        <v>70</v>
      </c>
      <c r="G512" s="3" t="s">
        <v>27</v>
      </c>
      <c r="H512" s="3" t="str">
        <f>VLOOKUP(B512,'[1]Select territorios'!$C:$L,10,0)</f>
        <v>8.679702</v>
      </c>
      <c r="I512" s="3" t="str">
        <f>VLOOKUP(B512,'[1]Select territorios'!$C:$M,11,0)</f>
        <v>-73.725801</v>
      </c>
      <c r="J512" s="5" t="s">
        <v>71</v>
      </c>
      <c r="K512" s="5">
        <v>1065818056</v>
      </c>
      <c r="L512" s="5">
        <v>3145467066</v>
      </c>
      <c r="M512" s="5" t="s">
        <v>72</v>
      </c>
    </row>
    <row r="513" spans="1:13" ht="15.75" x14ac:dyDescent="0.25">
      <c r="A513" s="3">
        <v>6971</v>
      </c>
      <c r="B513" s="3">
        <v>44724</v>
      </c>
      <c r="C513" s="3" t="s">
        <v>1089</v>
      </c>
      <c r="D513" s="3" t="s">
        <v>1090</v>
      </c>
      <c r="E513" s="4">
        <v>6980</v>
      </c>
      <c r="F513" s="3" t="s">
        <v>384</v>
      </c>
      <c r="G513" s="3" t="s">
        <v>27</v>
      </c>
      <c r="H513" s="3" t="str">
        <f>VLOOKUP(B513,'[1]Select territorios'!$C:$L,10,0)</f>
        <v>10.151972</v>
      </c>
      <c r="I513" s="3" t="str">
        <f>VLOOKUP(B513,'[1]Select territorios'!$C:$M,11,0)</f>
        <v>-73.963917</v>
      </c>
      <c r="J513" s="5" t="s">
        <v>48</v>
      </c>
      <c r="K513" s="5">
        <v>1064795379</v>
      </c>
      <c r="L513" s="5">
        <v>3104688587</v>
      </c>
      <c r="M513" s="5" t="s">
        <v>49</v>
      </c>
    </row>
    <row r="514" spans="1:13" ht="15.75" x14ac:dyDescent="0.25">
      <c r="A514" s="3">
        <v>6971</v>
      </c>
      <c r="B514" s="3">
        <v>44794</v>
      </c>
      <c r="C514" s="3" t="s">
        <v>1091</v>
      </c>
      <c r="D514" s="3" t="s">
        <v>1092</v>
      </c>
      <c r="E514" s="4">
        <v>6982</v>
      </c>
      <c r="F514" s="3" t="s">
        <v>118</v>
      </c>
      <c r="G514" s="3" t="s">
        <v>22</v>
      </c>
      <c r="H514" s="3" t="str">
        <f>VLOOKUP(B514,'[1]Select territorios'!$C:$L,10,0)</f>
        <v>8.32344</v>
      </c>
      <c r="I514" s="3" t="str">
        <f>VLOOKUP(B514,'[1]Select territorios'!$C:$M,11,0)</f>
        <v>-73.74112</v>
      </c>
      <c r="J514" s="5" t="s">
        <v>107</v>
      </c>
      <c r="K514" s="5">
        <v>1005281494</v>
      </c>
      <c r="L514" s="5">
        <v>3158541035</v>
      </c>
      <c r="M514" s="5" t="s">
        <v>108</v>
      </c>
    </row>
    <row r="515" spans="1:13" ht="15.75" x14ac:dyDescent="0.25">
      <c r="A515" s="3">
        <v>6971</v>
      </c>
      <c r="B515" s="3">
        <v>44800</v>
      </c>
      <c r="C515" s="3" t="s">
        <v>1093</v>
      </c>
      <c r="D515" s="3" t="s">
        <v>1094</v>
      </c>
      <c r="E515" s="4">
        <v>7001</v>
      </c>
      <c r="F515" s="3" t="s">
        <v>55</v>
      </c>
      <c r="G515" s="3" t="s">
        <v>16</v>
      </c>
      <c r="H515" s="3" t="str">
        <f>VLOOKUP(B515,'[1]Select territorios'!$C:$L,10,0)</f>
        <v>10.4733</v>
      </c>
      <c r="I515" s="3" t="str">
        <f>VLOOKUP(B515,'[1]Select territorios'!$C:$M,11,0)</f>
        <v>-73.2498</v>
      </c>
      <c r="J515" s="5" t="s">
        <v>23</v>
      </c>
      <c r="K515" s="5">
        <v>1065600058</v>
      </c>
      <c r="L515" s="5">
        <v>3123009293</v>
      </c>
      <c r="M515" s="5" t="s">
        <v>24</v>
      </c>
    </row>
    <row r="516" spans="1:13" ht="15.75" x14ac:dyDescent="0.25">
      <c r="A516" s="3">
        <v>6971</v>
      </c>
      <c r="B516" s="3">
        <v>44802</v>
      </c>
      <c r="C516" s="3" t="s">
        <v>1095</v>
      </c>
      <c r="D516" s="3" t="s">
        <v>1096</v>
      </c>
      <c r="E516" s="4">
        <v>7001</v>
      </c>
      <c r="F516" s="3" t="s">
        <v>55</v>
      </c>
      <c r="G516" s="3" t="s">
        <v>16</v>
      </c>
      <c r="H516" s="3" t="str">
        <f>VLOOKUP(B516,'[1]Select territorios'!$C:$L,10,0)</f>
        <v>10.4753</v>
      </c>
      <c r="I516" s="3" t="str">
        <f>VLOOKUP(B516,'[1]Select territorios'!$C:$M,11,0)</f>
        <v>-73.2508</v>
      </c>
      <c r="J516" s="5" t="s">
        <v>23</v>
      </c>
      <c r="K516" s="5">
        <v>1065600058</v>
      </c>
      <c r="L516" s="5">
        <v>3123009293</v>
      </c>
      <c r="M516" s="5" t="s">
        <v>24</v>
      </c>
    </row>
    <row r="517" spans="1:13" ht="15.75" x14ac:dyDescent="0.25">
      <c r="A517" s="3">
        <v>6971</v>
      </c>
      <c r="B517" s="3">
        <v>44847</v>
      </c>
      <c r="C517" s="3" t="s">
        <v>1097</v>
      </c>
      <c r="D517" s="3" t="s">
        <v>1098</v>
      </c>
      <c r="E517" s="4">
        <v>18936</v>
      </c>
      <c r="F517" s="3" t="s">
        <v>21</v>
      </c>
      <c r="G517" s="3" t="s">
        <v>27</v>
      </c>
      <c r="H517" s="3" t="str">
        <f>VLOOKUP(B517,'[1]Select territorios'!$C:$L,10,0)</f>
        <v>10.486013</v>
      </c>
      <c r="I517" s="3" t="str">
        <f>VLOOKUP(B517,'[1]Select territorios'!$C:$M,11,0)</f>
        <v>-73.263191</v>
      </c>
      <c r="J517" s="5" t="s">
        <v>23</v>
      </c>
      <c r="K517" s="5">
        <v>1065600058</v>
      </c>
      <c r="L517" s="5">
        <v>3123009293</v>
      </c>
      <c r="M517" s="5" t="s">
        <v>24</v>
      </c>
    </row>
    <row r="518" spans="1:13" ht="15.75" x14ac:dyDescent="0.25">
      <c r="A518" s="3">
        <v>6971</v>
      </c>
      <c r="B518" s="3">
        <v>44801</v>
      </c>
      <c r="C518" s="3" t="s">
        <v>1099</v>
      </c>
      <c r="D518" s="3" t="s">
        <v>1100</v>
      </c>
      <c r="E518" s="4">
        <v>7001</v>
      </c>
      <c r="F518" s="3" t="s">
        <v>55</v>
      </c>
      <c r="G518" s="3" t="s">
        <v>16</v>
      </c>
      <c r="H518" s="3" t="str">
        <f>VLOOKUP(B518,'[1]Select territorios'!$C:$L,10,0)</f>
        <v>10.4703</v>
      </c>
      <c r="I518" s="3" t="str">
        <f>VLOOKUP(B518,'[1]Select territorios'!$C:$M,11,0)</f>
        <v>-73.2477</v>
      </c>
      <c r="J518" s="5" t="s">
        <v>23</v>
      </c>
      <c r="K518" s="5">
        <v>1065600058</v>
      </c>
      <c r="L518" s="5">
        <v>3123009293</v>
      </c>
      <c r="M518" s="5" t="s">
        <v>24</v>
      </c>
    </row>
    <row r="519" spans="1:13" ht="15.75" x14ac:dyDescent="0.25">
      <c r="A519" s="3">
        <v>6971</v>
      </c>
      <c r="B519" s="3">
        <v>44895</v>
      </c>
      <c r="C519" s="3" t="s">
        <v>1101</v>
      </c>
      <c r="D519" s="3" t="s">
        <v>1102</v>
      </c>
      <c r="E519" s="4">
        <v>6985</v>
      </c>
      <c r="F519" s="3" t="s">
        <v>101</v>
      </c>
      <c r="G519" s="3" t="s">
        <v>631</v>
      </c>
      <c r="H519" s="3" t="str">
        <f>VLOOKUP(B519,'[1]Select territorios'!$C:$L,10,0)</f>
        <v>9.564</v>
      </c>
      <c r="I519" s="3" t="str">
        <f>VLOOKUP(B519,'[1]Select territorios'!$C:$M,11,0)</f>
        <v>-73.3366</v>
      </c>
      <c r="J519" s="5" t="s">
        <v>58</v>
      </c>
      <c r="K519" s="5">
        <v>1193146338</v>
      </c>
      <c r="L519" s="5">
        <v>3202114923</v>
      </c>
      <c r="M519" s="5" t="s">
        <v>59</v>
      </c>
    </row>
    <row r="520" spans="1:13" ht="15.75" x14ac:dyDescent="0.25">
      <c r="A520" s="3">
        <v>6971</v>
      </c>
      <c r="B520" s="3">
        <v>44776</v>
      </c>
      <c r="C520" s="3" t="s">
        <v>1103</v>
      </c>
      <c r="D520" s="3" t="s">
        <v>1104</v>
      </c>
      <c r="E520" s="4">
        <v>8562</v>
      </c>
      <c r="F520" s="3" t="s">
        <v>213</v>
      </c>
      <c r="G520" s="3" t="s">
        <v>27</v>
      </c>
      <c r="H520" s="3" t="str">
        <f>VLOOKUP(B520,'[1]Select territorios'!$C:$L,10,0)</f>
        <v>8.1741</v>
      </c>
      <c r="I520" s="3" t="str">
        <f>VLOOKUP(B520,'[1]Select territorios'!$C:$M,11,0)</f>
        <v>-73.3732</v>
      </c>
      <c r="J520" s="5" t="s">
        <v>71</v>
      </c>
      <c r="K520" s="5">
        <v>1065818056</v>
      </c>
      <c r="L520" s="5">
        <v>3145467066</v>
      </c>
      <c r="M520" s="5" t="s">
        <v>72</v>
      </c>
    </row>
    <row r="521" spans="1:13" ht="15.75" x14ac:dyDescent="0.25">
      <c r="A521" s="3">
        <v>6971</v>
      </c>
      <c r="B521" s="3">
        <v>44848</v>
      </c>
      <c r="C521" s="3" t="s">
        <v>1105</v>
      </c>
      <c r="D521" s="3" t="s">
        <v>361</v>
      </c>
      <c r="E521" s="4">
        <v>6985</v>
      </c>
      <c r="F521" s="3" t="s">
        <v>101</v>
      </c>
      <c r="G521" s="3" t="s">
        <v>16</v>
      </c>
      <c r="H521" s="3" t="str">
        <f>VLOOKUP(B521,'[1]Select territorios'!$C:$L,10,0)</f>
        <v>9.5634</v>
      </c>
      <c r="I521" s="3" t="str">
        <f>VLOOKUP(B521,'[1]Select territorios'!$C:$M,11,0)</f>
        <v>-73.3365</v>
      </c>
      <c r="J521" s="5" t="s">
        <v>58</v>
      </c>
      <c r="K521" s="5">
        <v>1193146338</v>
      </c>
      <c r="L521" s="5">
        <v>3202114923</v>
      </c>
      <c r="M521" s="5" t="s">
        <v>59</v>
      </c>
    </row>
    <row r="522" spans="1:13" ht="15.75" x14ac:dyDescent="0.25">
      <c r="A522" s="3">
        <v>6971</v>
      </c>
      <c r="B522" s="3">
        <v>44904</v>
      </c>
      <c r="C522" s="3" t="s">
        <v>1106</v>
      </c>
      <c r="D522" s="3" t="s">
        <v>1107</v>
      </c>
      <c r="E522" s="4">
        <v>6976</v>
      </c>
      <c r="F522" s="3" t="s">
        <v>96</v>
      </c>
      <c r="G522" s="3" t="s">
        <v>27</v>
      </c>
      <c r="H522" s="3" t="str">
        <f>VLOOKUP(B522,'[1]Select territorios'!$C:$L,10,0)</f>
        <v>9.257952</v>
      </c>
      <c r="I522" s="3" t="str">
        <f>VLOOKUP(B522,'[1]Select territorios'!$C:$M,11,0)</f>
        <v>-73.813218</v>
      </c>
      <c r="J522" s="5" t="s">
        <v>48</v>
      </c>
      <c r="K522" s="5">
        <v>1064795379</v>
      </c>
      <c r="L522" s="5">
        <v>3104688587</v>
      </c>
      <c r="M522" s="5" t="s">
        <v>49</v>
      </c>
    </row>
    <row r="523" spans="1:13" ht="15.75" x14ac:dyDescent="0.25">
      <c r="A523" s="3">
        <v>6971</v>
      </c>
      <c r="B523" s="3">
        <v>44909</v>
      </c>
      <c r="C523" s="3" t="s">
        <v>1108</v>
      </c>
      <c r="D523" s="3" t="s">
        <v>1109</v>
      </c>
      <c r="E523" s="4">
        <v>6998</v>
      </c>
      <c r="F523" s="3" t="s">
        <v>106</v>
      </c>
      <c r="G523" s="3" t="s">
        <v>27</v>
      </c>
      <c r="H523" s="3" t="str">
        <f>VLOOKUP(B523,'[1]Select territorios'!$C:$L,10,0)</f>
        <v>7.9002749</v>
      </c>
      <c r="I523" s="3" t="str">
        <f>VLOOKUP(B523,'[1]Select territorios'!$C:$M,11,0)</f>
        <v>-73.571276</v>
      </c>
      <c r="J523" s="5" t="s">
        <v>107</v>
      </c>
      <c r="K523" s="5">
        <v>1005281494</v>
      </c>
      <c r="L523" s="5">
        <v>3158541035</v>
      </c>
      <c r="M523" s="5" t="s">
        <v>108</v>
      </c>
    </row>
    <row r="524" spans="1:13" ht="15.75" x14ac:dyDescent="0.25">
      <c r="A524" s="3">
        <v>6971</v>
      </c>
      <c r="B524" s="3">
        <v>44818</v>
      </c>
      <c r="C524" s="3" t="s">
        <v>1110</v>
      </c>
      <c r="D524" s="3" t="s">
        <v>1111</v>
      </c>
      <c r="E524" s="4">
        <v>6979</v>
      </c>
      <c r="F524" s="3" t="s">
        <v>57</v>
      </c>
      <c r="G524" s="3" t="s">
        <v>631</v>
      </c>
      <c r="H524" s="3" t="str">
        <f>VLOOKUP(B524,'[1]Select territorios'!$C:$L,10,0)</f>
        <v>9.200908</v>
      </c>
      <c r="I524" s="3" t="str">
        <f>VLOOKUP(B524,'[1]Select territorios'!$C:$M,11,0)</f>
        <v>-73.544103</v>
      </c>
      <c r="J524" s="5" t="s">
        <v>58</v>
      </c>
      <c r="K524" s="5">
        <v>1193146338</v>
      </c>
      <c r="L524" s="5">
        <v>3202114923</v>
      </c>
      <c r="M524" s="5" t="s">
        <v>59</v>
      </c>
    </row>
    <row r="525" spans="1:13" ht="15.75" x14ac:dyDescent="0.25">
      <c r="A525" s="3">
        <v>6971</v>
      </c>
      <c r="B525" s="3">
        <v>44826</v>
      </c>
      <c r="C525" s="3" t="s">
        <v>1112</v>
      </c>
      <c r="D525" s="3" t="s">
        <v>1113</v>
      </c>
      <c r="E525" s="4">
        <v>44808</v>
      </c>
      <c r="F525" s="3" t="s">
        <v>245</v>
      </c>
      <c r="G525" s="3" t="s">
        <v>27</v>
      </c>
      <c r="H525" s="3" t="str">
        <f>VLOOKUP(B525,'[1]Select territorios'!$C:$L,10,0)</f>
        <v>9.292043</v>
      </c>
      <c r="I525" s="3" t="str">
        <f>VLOOKUP(B525,'[1]Select territorios'!$C:$M,11,0)</f>
        <v>-73.51766</v>
      </c>
      <c r="J525" s="5" t="s">
        <v>58</v>
      </c>
      <c r="K525" s="5">
        <v>1193146338</v>
      </c>
      <c r="L525" s="5">
        <v>3202114923</v>
      </c>
      <c r="M525" s="5" t="s">
        <v>59</v>
      </c>
    </row>
    <row r="526" spans="1:13" ht="15.75" x14ac:dyDescent="0.25">
      <c r="A526" s="3">
        <v>6971</v>
      </c>
      <c r="B526" s="3">
        <v>44901</v>
      </c>
      <c r="C526" s="3" t="s">
        <v>1114</v>
      </c>
      <c r="D526" s="3" t="s">
        <v>1115</v>
      </c>
      <c r="E526" s="4">
        <v>6975</v>
      </c>
      <c r="F526" s="3" t="s">
        <v>78</v>
      </c>
      <c r="G526" s="3" t="s">
        <v>27</v>
      </c>
      <c r="H526" s="3" t="str">
        <f>VLOOKUP(B526,'[1]Select territorios'!$C:$L,10,0)</f>
        <v>9.9796</v>
      </c>
      <c r="I526" s="3" t="str">
        <f>VLOOKUP(B526,'[1]Select territorios'!$C:$M,11,0)</f>
        <v>-73.8839</v>
      </c>
      <c r="J526" s="5" t="s">
        <v>48</v>
      </c>
      <c r="K526" s="5">
        <v>1064795379</v>
      </c>
      <c r="L526" s="5">
        <v>3104688587</v>
      </c>
      <c r="M526" s="5" t="s">
        <v>49</v>
      </c>
    </row>
    <row r="527" spans="1:13" ht="15.75" x14ac:dyDescent="0.25">
      <c r="A527" s="3">
        <v>6971</v>
      </c>
      <c r="B527" s="3">
        <v>44935</v>
      </c>
      <c r="C527" s="3" t="s">
        <v>1116</v>
      </c>
      <c r="D527" s="3" t="s">
        <v>1117</v>
      </c>
      <c r="E527" s="4">
        <v>6977</v>
      </c>
      <c r="F527" s="3" t="s">
        <v>52</v>
      </c>
      <c r="G527" s="3" t="s">
        <v>27</v>
      </c>
      <c r="H527" s="3" t="str">
        <f>VLOOKUP(B527,'[1]Select territorios'!$C:$L,10,0)</f>
        <v>9.3576</v>
      </c>
      <c r="I527" s="3" t="str">
        <f>VLOOKUP(B527,'[1]Select territorios'!$C:$M,11,0)</f>
        <v>-73.5885</v>
      </c>
      <c r="J527" s="5" t="s">
        <v>48</v>
      </c>
      <c r="K527" s="5">
        <v>1064795379</v>
      </c>
      <c r="L527" s="5">
        <v>3104688587</v>
      </c>
      <c r="M527" s="5" t="s">
        <v>49</v>
      </c>
    </row>
    <row r="528" spans="1:13" ht="15.75" x14ac:dyDescent="0.25">
      <c r="A528" s="3">
        <v>6971</v>
      </c>
      <c r="B528" s="3">
        <v>44889</v>
      </c>
      <c r="C528" s="3" t="s">
        <v>1118</v>
      </c>
      <c r="D528" s="3" t="s">
        <v>1119</v>
      </c>
      <c r="E528" s="4">
        <v>6985</v>
      </c>
      <c r="F528" s="3" t="s">
        <v>101</v>
      </c>
      <c r="G528" s="3" t="s">
        <v>27</v>
      </c>
      <c r="H528" s="3" t="str">
        <f>VLOOKUP(B528,'[1]Select territorios'!$C:$L,10,0)</f>
        <v>9.554823</v>
      </c>
      <c r="I528" s="3" t="str">
        <f>VLOOKUP(B528,'[1]Select territorios'!$C:$M,11,0)</f>
        <v>-73.332313</v>
      </c>
      <c r="J528" s="5" t="s">
        <v>58</v>
      </c>
      <c r="K528" s="5">
        <v>1193146338</v>
      </c>
      <c r="L528" s="5">
        <v>3202114923</v>
      </c>
      <c r="M528" s="5" t="s">
        <v>59</v>
      </c>
    </row>
    <row r="529" spans="1:13" ht="15.75" x14ac:dyDescent="0.25">
      <c r="A529" s="3">
        <v>6971</v>
      </c>
      <c r="B529" s="3">
        <v>44929</v>
      </c>
      <c r="C529" s="3" t="s">
        <v>1120</v>
      </c>
      <c r="D529" s="3" t="s">
        <v>1121</v>
      </c>
      <c r="E529" s="4">
        <v>6997</v>
      </c>
      <c r="F529" s="3" t="s">
        <v>88</v>
      </c>
      <c r="G529" s="3" t="s">
        <v>27</v>
      </c>
      <c r="H529" s="3" t="str">
        <f>VLOOKUP(B529,'[1]Select territorios'!$C:$L,10,0)</f>
        <v>10.3344</v>
      </c>
      <c r="I529" s="3" t="str">
        <f>VLOOKUP(B529,'[1]Select territorios'!$C:$M,11,0)</f>
        <v>-73.1774</v>
      </c>
      <c r="J529" s="5" t="s">
        <v>17</v>
      </c>
      <c r="K529" s="5">
        <v>15173890</v>
      </c>
      <c r="L529" s="5">
        <v>3002039991</v>
      </c>
      <c r="M529" s="5" t="s">
        <v>18</v>
      </c>
    </row>
    <row r="530" spans="1:13" ht="15.75" x14ac:dyDescent="0.25">
      <c r="A530" s="3">
        <v>6971</v>
      </c>
      <c r="B530" s="3">
        <v>44874</v>
      </c>
      <c r="C530" s="3" t="s">
        <v>1122</v>
      </c>
      <c r="D530" s="3" t="s">
        <v>1123</v>
      </c>
      <c r="E530" s="4">
        <v>8562</v>
      </c>
      <c r="F530" s="3" t="s">
        <v>213</v>
      </c>
      <c r="G530" s="3" t="s">
        <v>27</v>
      </c>
      <c r="H530" s="3" t="str">
        <f>VLOOKUP(B530,'[1]Select territorios'!$C:$L,10,0)</f>
        <v>8.303468</v>
      </c>
      <c r="I530" s="3" t="str">
        <f>VLOOKUP(B530,'[1]Select territorios'!$C:$M,11,0)</f>
        <v>-73.628336</v>
      </c>
      <c r="J530" s="5" t="s">
        <v>71</v>
      </c>
      <c r="K530" s="5">
        <v>1065818056</v>
      </c>
      <c r="L530" s="5">
        <v>3145467066</v>
      </c>
      <c r="M530" s="5" t="s">
        <v>72</v>
      </c>
    </row>
    <row r="531" spans="1:13" ht="15.75" x14ac:dyDescent="0.25">
      <c r="A531" s="3">
        <v>6971</v>
      </c>
      <c r="B531" s="3">
        <v>44934</v>
      </c>
      <c r="C531" s="3" t="s">
        <v>1124</v>
      </c>
      <c r="D531" s="3" t="s">
        <v>1125</v>
      </c>
      <c r="E531" s="4">
        <v>6996</v>
      </c>
      <c r="F531" s="3" t="s">
        <v>113</v>
      </c>
      <c r="G531" s="3" t="s">
        <v>27</v>
      </c>
      <c r="H531" s="3" t="str">
        <f>VLOOKUP(B531,'[1]Select territorios'!$C:$L,10,0)</f>
        <v>7.77633</v>
      </c>
      <c r="I531" s="3" t="str">
        <f>VLOOKUP(B531,'[1]Select territorios'!$C:$M,11,0)</f>
        <v>-73.40338</v>
      </c>
      <c r="J531" s="5" t="s">
        <v>107</v>
      </c>
      <c r="K531" s="5">
        <v>1005281494</v>
      </c>
      <c r="L531" s="5">
        <v>3158541035</v>
      </c>
      <c r="M531" s="5" t="s">
        <v>108</v>
      </c>
    </row>
    <row r="532" spans="1:13" ht="15.75" x14ac:dyDescent="0.25">
      <c r="A532" s="3">
        <v>6971</v>
      </c>
      <c r="B532" s="3">
        <v>44890</v>
      </c>
      <c r="C532" s="3" t="s">
        <v>1126</v>
      </c>
      <c r="D532" s="3" t="s">
        <v>1127</v>
      </c>
      <c r="E532" s="4">
        <v>6988</v>
      </c>
      <c r="F532" s="3" t="s">
        <v>227</v>
      </c>
      <c r="G532" s="3" t="s">
        <v>27</v>
      </c>
      <c r="H532" s="3" t="str">
        <f>VLOOKUP(B532,'[1]Select territorios'!$C:$L,10,0)</f>
        <v>10.382733</v>
      </c>
      <c r="I532" s="3" t="str">
        <f>VLOOKUP(B532,'[1]Select territorios'!$C:$M,11,0)</f>
        <v>-73.179107</v>
      </c>
      <c r="J532" s="5" t="s">
        <v>23</v>
      </c>
      <c r="K532" s="5">
        <v>1065600058</v>
      </c>
      <c r="L532" s="5">
        <v>3123009293</v>
      </c>
      <c r="M532" s="5" t="s">
        <v>24</v>
      </c>
    </row>
    <row r="533" spans="1:13" ht="15.75" x14ac:dyDescent="0.25">
      <c r="A533" s="3">
        <v>6971</v>
      </c>
      <c r="B533" s="3">
        <v>44870</v>
      </c>
      <c r="C533" s="3" t="s">
        <v>1128</v>
      </c>
      <c r="D533" s="3" t="s">
        <v>1129</v>
      </c>
      <c r="E533" s="4">
        <v>44806</v>
      </c>
      <c r="F533" s="3" t="s">
        <v>326</v>
      </c>
      <c r="G533" s="3" t="s">
        <v>16</v>
      </c>
      <c r="H533" s="3" t="str">
        <f>VLOOKUP(B533,'[1]Select territorios'!$C:$L,10,0)</f>
        <v>10.3543</v>
      </c>
      <c r="I533" s="3" t="str">
        <f>VLOOKUP(B533,'[1]Select territorios'!$C:$M,11,0)</f>
        <v>-73.05311</v>
      </c>
      <c r="J533" s="5" t="s">
        <v>40</v>
      </c>
      <c r="K533" s="5">
        <v>1003275622</v>
      </c>
      <c r="L533" s="5">
        <v>3218847746</v>
      </c>
      <c r="M533" s="5" t="s">
        <v>41</v>
      </c>
    </row>
    <row r="534" spans="1:13" ht="15.75" x14ac:dyDescent="0.25">
      <c r="A534" s="3">
        <v>6971</v>
      </c>
      <c r="B534" s="3">
        <v>44966</v>
      </c>
      <c r="C534" s="3" t="s">
        <v>1130</v>
      </c>
      <c r="D534" s="3" t="s">
        <v>1131</v>
      </c>
      <c r="E534" s="4">
        <v>6977</v>
      </c>
      <c r="F534" s="3" t="s">
        <v>52</v>
      </c>
      <c r="G534" s="3" t="s">
        <v>27</v>
      </c>
      <c r="H534" s="3" t="str">
        <f>VLOOKUP(B534,'[1]Select territorios'!$C:$L,10,0)</f>
        <v>9.3695</v>
      </c>
      <c r="I534" s="3" t="str">
        <f>VLOOKUP(B534,'[1]Select territorios'!$C:$M,11,0)</f>
        <v>-73.5194</v>
      </c>
      <c r="J534" s="5" t="s">
        <v>48</v>
      </c>
      <c r="K534" s="5">
        <v>1064795379</v>
      </c>
      <c r="L534" s="5">
        <v>3104688587</v>
      </c>
      <c r="M534" s="5" t="s">
        <v>49</v>
      </c>
    </row>
    <row r="535" spans="1:13" ht="15.75" x14ac:dyDescent="0.25">
      <c r="A535" s="3">
        <v>6971</v>
      </c>
      <c r="B535" s="3">
        <v>44943</v>
      </c>
      <c r="C535" s="3" t="s">
        <v>1132</v>
      </c>
      <c r="D535" s="3" t="s">
        <v>1133</v>
      </c>
      <c r="E535" s="4">
        <v>8552</v>
      </c>
      <c r="F535" s="3" t="s">
        <v>30</v>
      </c>
      <c r="G535" s="3" t="s">
        <v>27</v>
      </c>
      <c r="H535" s="3" t="str">
        <f>VLOOKUP(B535,'[1]Select territorios'!$C:$L,10,0)</f>
        <v>10.457354</v>
      </c>
      <c r="I535" s="3" t="str">
        <f>VLOOKUP(B535,'[1]Select territorios'!$C:$M,11,0)</f>
        <v>-73.25653</v>
      </c>
      <c r="J535" s="5" t="s">
        <v>17</v>
      </c>
      <c r="K535" s="5">
        <v>15173890</v>
      </c>
      <c r="L535" s="5">
        <v>3002039991</v>
      </c>
      <c r="M535" s="5" t="s">
        <v>18</v>
      </c>
    </row>
    <row r="536" spans="1:13" ht="15.75" x14ac:dyDescent="0.25">
      <c r="A536" s="3">
        <v>6971</v>
      </c>
      <c r="B536" s="3">
        <v>45111</v>
      </c>
      <c r="C536" s="3" t="s">
        <v>1134</v>
      </c>
      <c r="D536" s="3" t="s">
        <v>1135</v>
      </c>
      <c r="E536" s="4">
        <v>6978</v>
      </c>
      <c r="F536" s="3" t="s">
        <v>91</v>
      </c>
      <c r="G536" s="3" t="s">
        <v>631</v>
      </c>
      <c r="H536" s="3" t="str">
        <f>VLOOKUP(B536,'[1]Select territorios'!$C:$L,10,0)</f>
        <v>10.03561</v>
      </c>
      <c r="I536" s="3" t="str">
        <f>VLOOKUP(B536,'[1]Select territorios'!$C:$M,11,0)</f>
        <v>-73.23644</v>
      </c>
      <c r="J536" s="5" t="s">
        <v>58</v>
      </c>
      <c r="K536" s="5">
        <v>1193146338</v>
      </c>
      <c r="L536" s="5">
        <v>3202114923</v>
      </c>
      <c r="M536" s="5" t="s">
        <v>59</v>
      </c>
    </row>
    <row r="537" spans="1:13" ht="15.75" x14ac:dyDescent="0.25">
      <c r="A537" s="3">
        <v>6971</v>
      </c>
      <c r="B537" s="3">
        <v>44941</v>
      </c>
      <c r="C537" s="3" t="s">
        <v>1136</v>
      </c>
      <c r="D537" s="3" t="s">
        <v>1137</v>
      </c>
      <c r="E537" s="4">
        <v>6999</v>
      </c>
      <c r="F537" s="3" t="s">
        <v>260</v>
      </c>
      <c r="G537" s="3" t="s">
        <v>27</v>
      </c>
      <c r="H537" s="3" t="str">
        <f>VLOOKUP(B537,'[1]Select territorios'!$C:$L,10,0)</f>
        <v>8.86274667</v>
      </c>
      <c r="I537" s="3" t="str">
        <f>VLOOKUP(B537,'[1]Select territorios'!$C:$M,11,0)</f>
        <v>-73.8045241</v>
      </c>
      <c r="J537" s="5" t="s">
        <v>71</v>
      </c>
      <c r="K537" s="5">
        <v>1065818056</v>
      </c>
      <c r="L537" s="5">
        <v>3145467066</v>
      </c>
      <c r="M537" s="5" t="s">
        <v>72</v>
      </c>
    </row>
    <row r="538" spans="1:13" ht="15.75" x14ac:dyDescent="0.25">
      <c r="A538" s="3">
        <v>6971</v>
      </c>
      <c r="B538" s="3">
        <v>44939</v>
      </c>
      <c r="C538" s="3" t="s">
        <v>1138</v>
      </c>
      <c r="D538" s="3" t="s">
        <v>1139</v>
      </c>
      <c r="E538" s="4">
        <v>6999</v>
      </c>
      <c r="F538" s="3" t="s">
        <v>260</v>
      </c>
      <c r="G538" s="3" t="s">
        <v>27</v>
      </c>
      <c r="H538" s="3" t="str">
        <f>VLOOKUP(B538,'[1]Select territorios'!$C:$L,10,0)</f>
        <v>8.87566</v>
      </c>
      <c r="I538" s="3" t="str">
        <f>VLOOKUP(B538,'[1]Select territorios'!$C:$M,11,0)</f>
        <v>-73.66134</v>
      </c>
      <c r="J538" s="5" t="s">
        <v>71</v>
      </c>
      <c r="K538" s="5">
        <v>1065818056</v>
      </c>
      <c r="L538" s="5">
        <v>3145467066</v>
      </c>
      <c r="M538" s="5" t="s">
        <v>72</v>
      </c>
    </row>
    <row r="539" spans="1:13" ht="15.75" x14ac:dyDescent="0.25">
      <c r="A539" s="3">
        <v>6971</v>
      </c>
      <c r="B539" s="3">
        <v>44906</v>
      </c>
      <c r="C539" s="3" t="s">
        <v>1140</v>
      </c>
      <c r="D539" s="3" t="s">
        <v>1141</v>
      </c>
      <c r="E539" s="4">
        <v>8560</v>
      </c>
      <c r="F539" s="3" t="s">
        <v>161</v>
      </c>
      <c r="G539" s="3" t="s">
        <v>27</v>
      </c>
      <c r="H539" s="3" t="str">
        <f>VLOOKUP(B539,'[1]Select territorios'!$C:$L,10,0)</f>
        <v>8.319722</v>
      </c>
      <c r="I539" s="3" t="str">
        <f>VLOOKUP(B539,'[1]Select territorios'!$C:$M,11,0)</f>
        <v>-73.5922</v>
      </c>
      <c r="J539" s="5" t="s">
        <v>107</v>
      </c>
      <c r="K539" s="5">
        <v>1005281494</v>
      </c>
      <c r="L539" s="5">
        <v>3158541035</v>
      </c>
      <c r="M539" s="5" t="s">
        <v>108</v>
      </c>
    </row>
    <row r="540" spans="1:13" ht="15.75" x14ac:dyDescent="0.25">
      <c r="A540" s="3">
        <v>6971</v>
      </c>
      <c r="B540" s="3">
        <v>44921</v>
      </c>
      <c r="C540" s="3" t="s">
        <v>1142</v>
      </c>
      <c r="D540" s="3" t="s">
        <v>1143</v>
      </c>
      <c r="E540" s="4">
        <v>8561</v>
      </c>
      <c r="F540" s="3" t="s">
        <v>168</v>
      </c>
      <c r="G540" s="3" t="s">
        <v>27</v>
      </c>
      <c r="H540" s="3" t="str">
        <f>VLOOKUP(B540,'[1]Select territorios'!$C:$L,10,0)</f>
        <v>8.294365</v>
      </c>
      <c r="I540" s="3" t="str">
        <f>VLOOKUP(B540,'[1]Select territorios'!$C:$M,11,0)</f>
        <v>-73.616322</v>
      </c>
      <c r="J540" s="5" t="s">
        <v>107</v>
      </c>
      <c r="K540" s="5">
        <v>1005281494</v>
      </c>
      <c r="L540" s="5">
        <v>3158541035</v>
      </c>
      <c r="M540" s="5" t="s">
        <v>108</v>
      </c>
    </row>
    <row r="541" spans="1:13" ht="15.75" x14ac:dyDescent="0.25">
      <c r="A541" s="3">
        <v>6971</v>
      </c>
      <c r="B541" s="3">
        <v>45096</v>
      </c>
      <c r="C541" s="3" t="s">
        <v>1144</v>
      </c>
      <c r="D541" s="3" t="s">
        <v>1145</v>
      </c>
      <c r="E541" s="4">
        <v>6978</v>
      </c>
      <c r="F541" s="3" t="s">
        <v>91</v>
      </c>
      <c r="G541" s="3" t="s">
        <v>16</v>
      </c>
      <c r="H541" s="3" t="str">
        <f>VLOOKUP(B541,'[1]Select territorios'!$C:$L,10,0)</f>
        <v>10.04174</v>
      </c>
      <c r="I541" s="3" t="str">
        <f>VLOOKUP(B541,'[1]Select territorios'!$C:$M,11,0)</f>
        <v>-73.23822</v>
      </c>
      <c r="J541" s="5" t="s">
        <v>58</v>
      </c>
      <c r="K541" s="5">
        <v>1193146338</v>
      </c>
      <c r="L541" s="5">
        <v>3202114923</v>
      </c>
      <c r="M541" s="5" t="s">
        <v>59</v>
      </c>
    </row>
    <row r="542" spans="1:13" ht="15.75" x14ac:dyDescent="0.25">
      <c r="A542" s="3">
        <v>6971</v>
      </c>
      <c r="B542" s="3">
        <v>44942</v>
      </c>
      <c r="C542" s="3" t="s">
        <v>1146</v>
      </c>
      <c r="D542" s="3" t="s">
        <v>1147</v>
      </c>
      <c r="E542" s="4">
        <v>45386</v>
      </c>
      <c r="F542" s="3" t="s">
        <v>67</v>
      </c>
      <c r="G542" s="3" t="s">
        <v>27</v>
      </c>
      <c r="H542" s="3" t="str">
        <f>VLOOKUP(B542,'[1]Select territorios'!$C:$L,10,0)</f>
        <v>10.42847523</v>
      </c>
      <c r="I542" s="3" t="str">
        <f>VLOOKUP(B542,'[1]Select territorios'!$C:$M,11,0)</f>
        <v>-73.256887</v>
      </c>
      <c r="J542" s="5" t="s">
        <v>40</v>
      </c>
      <c r="K542" s="5">
        <v>1003275622</v>
      </c>
      <c r="L542" s="5">
        <v>3218847746</v>
      </c>
      <c r="M542" s="5" t="s">
        <v>41</v>
      </c>
    </row>
    <row r="543" spans="1:13" ht="15.75" x14ac:dyDescent="0.25">
      <c r="A543" s="3">
        <v>6971</v>
      </c>
      <c r="B543" s="3">
        <v>45139</v>
      </c>
      <c r="C543" s="3" t="s">
        <v>1148</v>
      </c>
      <c r="D543" s="3" t="s">
        <v>1149</v>
      </c>
      <c r="E543" s="4">
        <v>8561</v>
      </c>
      <c r="F543" s="3" t="s">
        <v>168</v>
      </c>
      <c r="G543" s="3" t="s">
        <v>16</v>
      </c>
      <c r="H543" s="3" t="str">
        <f>VLOOKUP(B543,'[1]Select territorios'!$C:$L,10,0)</f>
        <v>8.304538</v>
      </c>
      <c r="I543" s="3" t="str">
        <f>VLOOKUP(B543,'[1]Select territorios'!$C:$M,11,0)</f>
        <v>-73.616933</v>
      </c>
      <c r="J543" s="5" t="s">
        <v>107</v>
      </c>
      <c r="K543" s="5">
        <v>1005281494</v>
      </c>
      <c r="L543" s="5">
        <v>3158541035</v>
      </c>
      <c r="M543" s="5" t="s">
        <v>108</v>
      </c>
    </row>
    <row r="544" spans="1:13" ht="15.75" x14ac:dyDescent="0.25">
      <c r="A544" s="3">
        <v>6971</v>
      </c>
      <c r="B544" s="3">
        <v>45095</v>
      </c>
      <c r="C544" s="3" t="s">
        <v>1150</v>
      </c>
      <c r="D544" s="3" t="s">
        <v>1151</v>
      </c>
      <c r="E544" s="4">
        <v>6978</v>
      </c>
      <c r="F544" s="3" t="s">
        <v>91</v>
      </c>
      <c r="G544" s="3" t="s">
        <v>16</v>
      </c>
      <c r="H544" s="3" t="str">
        <f>VLOOKUP(B544,'[1]Select territorios'!$C:$L,10,0)</f>
        <v>10.03888</v>
      </c>
      <c r="I544" s="3" t="str">
        <f>VLOOKUP(B544,'[1]Select territorios'!$C:$M,11,0)</f>
        <v>-73.23585</v>
      </c>
      <c r="J544" s="5" t="s">
        <v>58</v>
      </c>
      <c r="K544" s="5">
        <v>1193146338</v>
      </c>
      <c r="L544" s="5">
        <v>3202114923</v>
      </c>
      <c r="M544" s="5" t="s">
        <v>59</v>
      </c>
    </row>
    <row r="545" spans="1:13" ht="15.75" x14ac:dyDescent="0.25">
      <c r="A545" s="3">
        <v>6971</v>
      </c>
      <c r="B545" s="3">
        <v>45144</v>
      </c>
      <c r="C545" s="3" t="s">
        <v>1152</v>
      </c>
      <c r="D545" s="3" t="s">
        <v>1153</v>
      </c>
      <c r="E545" s="4">
        <v>8556</v>
      </c>
      <c r="F545" s="3" t="s">
        <v>36</v>
      </c>
      <c r="G545" s="3" t="s">
        <v>27</v>
      </c>
      <c r="H545" s="3" t="str">
        <f>VLOOKUP(B545,'[1]Select territorios'!$C:$L,10,0)</f>
        <v>10.4658</v>
      </c>
      <c r="I545" s="3" t="str">
        <f>VLOOKUP(B545,'[1]Select territorios'!$C:$M,11,0)</f>
        <v>-73.2343</v>
      </c>
      <c r="J545" s="5" t="s">
        <v>23</v>
      </c>
      <c r="K545" s="5">
        <v>1065600058</v>
      </c>
      <c r="L545" s="5">
        <v>3123009293</v>
      </c>
      <c r="M545" s="5" t="s">
        <v>24</v>
      </c>
    </row>
    <row r="546" spans="1:13" ht="15.75" x14ac:dyDescent="0.25">
      <c r="A546" s="3">
        <v>6971</v>
      </c>
      <c r="B546" s="3">
        <v>44970</v>
      </c>
      <c r="C546" s="3" t="s">
        <v>1154</v>
      </c>
      <c r="D546" s="3" t="s">
        <v>1155</v>
      </c>
      <c r="E546" s="4">
        <v>45386</v>
      </c>
      <c r="F546" s="3" t="s">
        <v>67</v>
      </c>
      <c r="G546" s="3" t="s">
        <v>27</v>
      </c>
      <c r="H546" s="3" t="str">
        <f>VLOOKUP(B546,'[1]Select territorios'!$C:$L,10,0)</f>
        <v>10.447314</v>
      </c>
      <c r="I546" s="3" t="str">
        <f>VLOOKUP(B546,'[1]Select territorios'!$C:$M,11,0)</f>
        <v>-73.252137</v>
      </c>
      <c r="J546" s="5" t="s">
        <v>40</v>
      </c>
      <c r="K546" s="5">
        <v>1003275622</v>
      </c>
      <c r="L546" s="5">
        <v>3218847746</v>
      </c>
      <c r="M546" s="5" t="s">
        <v>41</v>
      </c>
    </row>
    <row r="547" spans="1:13" ht="15.75" x14ac:dyDescent="0.25">
      <c r="A547" s="3">
        <v>6971</v>
      </c>
      <c r="B547" s="3">
        <v>45108</v>
      </c>
      <c r="C547" s="3" t="s">
        <v>1156</v>
      </c>
      <c r="D547" s="3" t="s">
        <v>1157</v>
      </c>
      <c r="E547" s="4">
        <v>9206</v>
      </c>
      <c r="F547" s="3" t="s">
        <v>33</v>
      </c>
      <c r="G547" s="3" t="s">
        <v>27</v>
      </c>
      <c r="H547" s="3" t="str">
        <f>VLOOKUP(B547,'[1]Select territorios'!$C:$L,10,0)</f>
        <v>10.451155</v>
      </c>
      <c r="I547" s="3" t="str">
        <f>VLOOKUP(B547,'[1]Select territorios'!$C:$M,11,0)</f>
        <v>-73.279108</v>
      </c>
      <c r="J547" s="5" t="s">
        <v>17</v>
      </c>
      <c r="K547" s="5">
        <v>15173890</v>
      </c>
      <c r="L547" s="5">
        <v>3002039991</v>
      </c>
      <c r="M547" s="5" t="s">
        <v>18</v>
      </c>
    </row>
    <row r="548" spans="1:13" ht="15.75" x14ac:dyDescent="0.25">
      <c r="A548" s="3">
        <v>6971</v>
      </c>
      <c r="B548" s="3">
        <v>45142</v>
      </c>
      <c r="C548" s="3" t="s">
        <v>1158</v>
      </c>
      <c r="D548" s="3" t="s">
        <v>1159</v>
      </c>
      <c r="E548" s="4">
        <v>17176</v>
      </c>
      <c r="F548" s="3" t="s">
        <v>189</v>
      </c>
      <c r="G548" s="3" t="s">
        <v>27</v>
      </c>
      <c r="H548" s="3" t="str">
        <f>VLOOKUP(B548,'[1]Select territorios'!$C:$L,10,0)</f>
        <v>10.4639</v>
      </c>
      <c r="I548" s="3" t="str">
        <f>VLOOKUP(B548,'[1]Select territorios'!$C:$M,11,0)</f>
        <v>-73.2383</v>
      </c>
      <c r="J548" s="5" t="s">
        <v>40</v>
      </c>
      <c r="K548" s="5">
        <v>1003275622</v>
      </c>
      <c r="L548" s="5">
        <v>3218847746</v>
      </c>
      <c r="M548" s="5" t="s">
        <v>41</v>
      </c>
    </row>
    <row r="549" spans="1:13" ht="15.75" x14ac:dyDescent="0.25">
      <c r="A549" s="3">
        <v>6971</v>
      </c>
      <c r="B549" s="3">
        <v>45123</v>
      </c>
      <c r="C549" s="3" t="s">
        <v>1160</v>
      </c>
      <c r="D549" s="3" t="s">
        <v>1161</v>
      </c>
      <c r="E549" s="4">
        <v>6975</v>
      </c>
      <c r="F549" s="3" t="s">
        <v>78</v>
      </c>
      <c r="G549" s="3" t="s">
        <v>27</v>
      </c>
      <c r="H549" s="3" t="str">
        <f>VLOOKUP(B549,'[1]Select territorios'!$C:$L,10,0)</f>
        <v>9.9801162</v>
      </c>
      <c r="I549" s="3" t="str">
        <f>VLOOKUP(B549,'[1]Select territorios'!$C:$M,11,0)</f>
        <v>-73.88929</v>
      </c>
      <c r="J549" s="5" t="s">
        <v>48</v>
      </c>
      <c r="K549" s="5">
        <v>1064795379</v>
      </c>
      <c r="L549" s="5">
        <v>3104688587</v>
      </c>
      <c r="M549" s="5" t="s">
        <v>49</v>
      </c>
    </row>
    <row r="550" spans="1:13" ht="15.75" x14ac:dyDescent="0.25">
      <c r="A550" s="3">
        <v>6971</v>
      </c>
      <c r="B550" s="3">
        <v>45210</v>
      </c>
      <c r="C550" s="3" t="s">
        <v>1162</v>
      </c>
      <c r="D550" s="3" t="s">
        <v>1163</v>
      </c>
      <c r="E550" s="4">
        <v>17191</v>
      </c>
      <c r="F550" s="3" t="s">
        <v>186</v>
      </c>
      <c r="G550" s="3" t="s">
        <v>27</v>
      </c>
      <c r="H550" s="3" t="str">
        <f>VLOOKUP(B550,'[1]Select territorios'!$C:$L,10,0)</f>
        <v>10.431067</v>
      </c>
      <c r="I550" s="3" t="str">
        <f>VLOOKUP(B550,'[1]Select territorios'!$C:$M,11,0)</f>
        <v>-73.392395</v>
      </c>
      <c r="J550" s="5" t="s">
        <v>17</v>
      </c>
      <c r="K550" s="5">
        <v>15173890</v>
      </c>
      <c r="L550" s="5">
        <v>3002039991</v>
      </c>
      <c r="M550" s="5" t="s">
        <v>18</v>
      </c>
    </row>
    <row r="551" spans="1:13" ht="15.75" x14ac:dyDescent="0.25">
      <c r="A551" s="3">
        <v>6971</v>
      </c>
      <c r="B551" s="3">
        <v>45191</v>
      </c>
      <c r="C551" s="3" t="s">
        <v>1164</v>
      </c>
      <c r="D551" s="3" t="s">
        <v>1165</v>
      </c>
      <c r="E551" s="4">
        <v>6991</v>
      </c>
      <c r="F551" s="3" t="s">
        <v>70</v>
      </c>
      <c r="G551" s="3" t="s">
        <v>16</v>
      </c>
      <c r="H551" s="3" t="str">
        <f>VLOOKUP(B551,'[1]Select territorios'!$C:$L,10,0)</f>
        <v>8.6828358</v>
      </c>
      <c r="I551" s="3" t="str">
        <f>VLOOKUP(B551,'[1]Select territorios'!$C:$M,11,0)</f>
        <v>-73.6627841</v>
      </c>
      <c r="J551" s="5" t="s">
        <v>71</v>
      </c>
      <c r="K551" s="5">
        <v>1065818056</v>
      </c>
      <c r="L551" s="5">
        <v>3145467066</v>
      </c>
      <c r="M551" s="5" t="s">
        <v>72</v>
      </c>
    </row>
    <row r="552" spans="1:13" ht="15.75" x14ac:dyDescent="0.25">
      <c r="A552" s="3">
        <v>6971</v>
      </c>
      <c r="B552" s="3">
        <v>44910</v>
      </c>
      <c r="C552" s="3" t="s">
        <v>1166</v>
      </c>
      <c r="D552" s="3" t="s">
        <v>1167</v>
      </c>
      <c r="E552" s="4">
        <v>8560</v>
      </c>
      <c r="F552" s="3" t="s">
        <v>161</v>
      </c>
      <c r="G552" s="3" t="s">
        <v>16</v>
      </c>
      <c r="H552" s="3" t="str">
        <f>VLOOKUP(B552,'[1]Select territorios'!$C:$L,10,0)</f>
        <v>8.3128993</v>
      </c>
      <c r="I552" s="3" t="str">
        <f>VLOOKUP(B552,'[1]Select territorios'!$C:$M,11,0)</f>
        <v>-73.6026197</v>
      </c>
      <c r="J552" s="5" t="s">
        <v>107</v>
      </c>
      <c r="K552" s="5">
        <v>1005281494</v>
      </c>
      <c r="L552" s="5">
        <v>3158541035</v>
      </c>
      <c r="M552" s="5" t="s">
        <v>108</v>
      </c>
    </row>
    <row r="553" spans="1:13" ht="15.75" x14ac:dyDescent="0.25">
      <c r="A553" s="3">
        <v>6971</v>
      </c>
      <c r="B553" s="3">
        <v>45209</v>
      </c>
      <c r="C553" s="3" t="s">
        <v>1168</v>
      </c>
      <c r="D553" s="3" t="s">
        <v>1169</v>
      </c>
      <c r="E553" s="4">
        <v>8556</v>
      </c>
      <c r="F553" s="3" t="s">
        <v>36</v>
      </c>
      <c r="G553" s="3" t="s">
        <v>27</v>
      </c>
      <c r="H553" s="3" t="str">
        <f>VLOOKUP(B553,'[1]Select territorios'!$C:$L,10,0)</f>
        <v>10.4764</v>
      </c>
      <c r="I553" s="3" t="str">
        <f>VLOOKUP(B553,'[1]Select territorios'!$C:$M,11,0)</f>
        <v>-73.2412</v>
      </c>
      <c r="J553" s="5" t="s">
        <v>23</v>
      </c>
      <c r="K553" s="5">
        <v>1065600058</v>
      </c>
      <c r="L553" s="5">
        <v>3123009293</v>
      </c>
      <c r="M553" s="5" t="s">
        <v>24</v>
      </c>
    </row>
    <row r="554" spans="1:13" ht="15.75" x14ac:dyDescent="0.25">
      <c r="A554" s="3">
        <v>6971</v>
      </c>
      <c r="B554" s="3">
        <v>45217</v>
      </c>
      <c r="C554" s="3" t="s">
        <v>1170</v>
      </c>
      <c r="D554" s="3" t="s">
        <v>1171</v>
      </c>
      <c r="E554" s="4">
        <v>6976</v>
      </c>
      <c r="F554" s="3" t="s">
        <v>96</v>
      </c>
      <c r="G554" s="3" t="s">
        <v>27</v>
      </c>
      <c r="H554" s="3" t="str">
        <f>VLOOKUP(B554,'[1]Select territorios'!$C:$L,10,0)</f>
        <v>9.1908408</v>
      </c>
      <c r="I554" s="3" t="str">
        <f>VLOOKUP(B554,'[1]Select territorios'!$C:$M,11,0)</f>
        <v>-73.729785</v>
      </c>
      <c r="J554" s="5" t="s">
        <v>48</v>
      </c>
      <c r="K554" s="5">
        <v>1064795379</v>
      </c>
      <c r="L554" s="5">
        <v>3104688587</v>
      </c>
      <c r="M554" s="5" t="s">
        <v>49</v>
      </c>
    </row>
    <row r="555" spans="1:13" ht="15.75" x14ac:dyDescent="0.25">
      <c r="A555" s="3">
        <v>6971</v>
      </c>
      <c r="B555" s="3">
        <v>45214</v>
      </c>
      <c r="C555" s="3" t="s">
        <v>1172</v>
      </c>
      <c r="D555" s="3" t="s">
        <v>1173</v>
      </c>
      <c r="E555" s="4">
        <v>8556</v>
      </c>
      <c r="F555" s="3" t="s">
        <v>36</v>
      </c>
      <c r="G555" s="3" t="s">
        <v>27</v>
      </c>
      <c r="H555" s="3" t="str">
        <f>VLOOKUP(B555,'[1]Select territorios'!$C:$L,10,0)</f>
        <v>10.4689</v>
      </c>
      <c r="I555" s="3" t="str">
        <f>VLOOKUP(B555,'[1]Select territorios'!$C:$M,11,0)</f>
        <v>-73.2422</v>
      </c>
      <c r="J555" s="5" t="s">
        <v>23</v>
      </c>
      <c r="K555" s="5">
        <v>1065600058</v>
      </c>
      <c r="L555" s="5">
        <v>3123009293</v>
      </c>
      <c r="M555" s="5" t="s">
        <v>24</v>
      </c>
    </row>
    <row r="556" spans="1:13" ht="15.75" x14ac:dyDescent="0.25">
      <c r="A556" s="3">
        <v>6971</v>
      </c>
      <c r="B556" s="3">
        <v>44796</v>
      </c>
      <c r="C556" s="3" t="s">
        <v>1174</v>
      </c>
      <c r="D556" s="3" t="s">
        <v>1175</v>
      </c>
      <c r="E556" s="4">
        <v>6986</v>
      </c>
      <c r="F556" s="3" t="s">
        <v>294</v>
      </c>
      <c r="G556" s="3" t="s">
        <v>631</v>
      </c>
      <c r="H556" s="3" t="str">
        <f>VLOOKUP(B556,'[1]Select territorios'!$C:$L,10,0)</f>
        <v>9.623</v>
      </c>
      <c r="I556" s="3" t="str">
        <f>VLOOKUP(B556,'[1]Select territorios'!$C:$M,11,0)</f>
        <v>-73.5874</v>
      </c>
      <c r="J556" s="5" t="s">
        <v>48</v>
      </c>
      <c r="K556" s="5">
        <v>1064795379</v>
      </c>
      <c r="L556" s="5">
        <v>3104688587</v>
      </c>
      <c r="M556" s="5" t="s">
        <v>49</v>
      </c>
    </row>
    <row r="557" spans="1:13" ht="15.75" x14ac:dyDescent="0.25">
      <c r="A557" s="3">
        <v>6971</v>
      </c>
      <c r="B557" s="3">
        <v>45253</v>
      </c>
      <c r="C557" s="3" t="s">
        <v>1176</v>
      </c>
      <c r="D557" s="3" t="s">
        <v>1177</v>
      </c>
      <c r="E557" s="4">
        <v>6989</v>
      </c>
      <c r="F557" s="3" t="s">
        <v>39</v>
      </c>
      <c r="G557" s="3" t="s">
        <v>27</v>
      </c>
      <c r="H557" s="3" t="str">
        <f>VLOOKUP(B557,'[1]Select territorios'!$C:$L,10,0)</f>
        <v>10.388578</v>
      </c>
      <c r="I557" s="3" t="str">
        <f>VLOOKUP(B557,'[1]Select territorios'!$C:$M,11,0)</f>
        <v>-73.025505</v>
      </c>
      <c r="J557" s="5" t="s">
        <v>40</v>
      </c>
      <c r="K557" s="5">
        <v>1003275622</v>
      </c>
      <c r="L557" s="5">
        <v>3218847746</v>
      </c>
      <c r="M557" s="5" t="s">
        <v>41</v>
      </c>
    </row>
    <row r="558" spans="1:13" ht="15.75" x14ac:dyDescent="0.25">
      <c r="A558" s="3">
        <v>6971</v>
      </c>
      <c r="B558" s="3">
        <v>44869</v>
      </c>
      <c r="C558" s="3" t="s">
        <v>1178</v>
      </c>
      <c r="D558" s="3" t="s">
        <v>1179</v>
      </c>
      <c r="E558" s="4">
        <v>8552</v>
      </c>
      <c r="F558" s="3" t="s">
        <v>30</v>
      </c>
      <c r="G558" s="3" t="s">
        <v>16</v>
      </c>
      <c r="H558" s="3" t="str">
        <f>VLOOKUP(B558,'[1]Select territorios'!$C:$L,10,0)</f>
        <v>10.466647</v>
      </c>
      <c r="I558" s="3" t="str">
        <f>VLOOKUP(B558,'[1]Select territorios'!$C:$M,11,0)</f>
        <v>-73.2619714</v>
      </c>
      <c r="J558" s="5" t="s">
        <v>17</v>
      </c>
      <c r="K558" s="5">
        <v>15173890</v>
      </c>
      <c r="L558" s="5">
        <v>3002039991</v>
      </c>
      <c r="M558" s="5" t="s">
        <v>18</v>
      </c>
    </row>
    <row r="559" spans="1:13" ht="15.75" x14ac:dyDescent="0.25">
      <c r="A559" s="3">
        <v>6971</v>
      </c>
      <c r="B559" s="3">
        <v>45205</v>
      </c>
      <c r="C559" s="3" t="s">
        <v>1180</v>
      </c>
      <c r="D559" s="3" t="s">
        <v>1181</v>
      </c>
      <c r="E559" s="4">
        <v>44806</v>
      </c>
      <c r="F559" s="3" t="s">
        <v>326</v>
      </c>
      <c r="G559" s="3" t="s">
        <v>27</v>
      </c>
      <c r="H559" s="3" t="str">
        <f>VLOOKUP(B559,'[1]Select territorios'!$C:$L,10,0)</f>
        <v>10.348311</v>
      </c>
      <c r="I559" s="3" t="str">
        <f>VLOOKUP(B559,'[1]Select territorios'!$C:$M,11,0)</f>
        <v>-73.051486</v>
      </c>
      <c r="J559" s="5" t="s">
        <v>40</v>
      </c>
      <c r="K559" s="5">
        <v>1003275622</v>
      </c>
      <c r="L559" s="5">
        <v>3218847746</v>
      </c>
      <c r="M559" s="5" t="s">
        <v>41</v>
      </c>
    </row>
    <row r="560" spans="1:13" ht="15.75" x14ac:dyDescent="0.25">
      <c r="A560" s="3">
        <v>6971</v>
      </c>
      <c r="B560" s="3">
        <v>45110</v>
      </c>
      <c r="C560" s="3" t="s">
        <v>1182</v>
      </c>
      <c r="D560" s="3" t="s">
        <v>1183</v>
      </c>
      <c r="E560" s="4">
        <v>9206</v>
      </c>
      <c r="F560" s="3" t="s">
        <v>33</v>
      </c>
      <c r="G560" s="3" t="s">
        <v>16</v>
      </c>
      <c r="H560" s="3" t="str">
        <f>VLOOKUP(B560,'[1]Select territorios'!$C:$L,10,0)</f>
        <v>10.442938</v>
      </c>
      <c r="I560" s="3" t="str">
        <f>VLOOKUP(B560,'[1]Select territorios'!$C:$M,11,0)</f>
        <v>-73.281108</v>
      </c>
      <c r="J560" s="5" t="s">
        <v>17</v>
      </c>
      <c r="K560" s="5">
        <v>15173890</v>
      </c>
      <c r="L560" s="5">
        <v>3002039991</v>
      </c>
      <c r="M560" s="5" t="s">
        <v>18</v>
      </c>
    </row>
    <row r="561" spans="1:13" ht="15.75" x14ac:dyDescent="0.25">
      <c r="A561" s="3">
        <v>6971</v>
      </c>
      <c r="B561" s="3">
        <v>45172</v>
      </c>
      <c r="C561" s="3" t="s">
        <v>1184</v>
      </c>
      <c r="D561" s="3" t="s">
        <v>1185</v>
      </c>
      <c r="E561" s="4">
        <v>6988</v>
      </c>
      <c r="F561" s="3" t="s">
        <v>227</v>
      </c>
      <c r="G561" s="3" t="s">
        <v>27</v>
      </c>
      <c r="H561" s="3" t="str">
        <f>VLOOKUP(B561,'[1]Select territorios'!$C:$L,10,0)</f>
        <v>10.380552</v>
      </c>
      <c r="I561" s="3" t="str">
        <f>VLOOKUP(B561,'[1]Select territorios'!$C:$M,11,0)</f>
        <v>-73.173668</v>
      </c>
      <c r="J561" s="5" t="s">
        <v>23</v>
      </c>
      <c r="K561" s="5">
        <v>1065600058</v>
      </c>
      <c r="L561" s="5">
        <v>3123009293</v>
      </c>
      <c r="M561" s="5" t="s">
        <v>24</v>
      </c>
    </row>
    <row r="562" spans="1:13" ht="15.75" x14ac:dyDescent="0.25">
      <c r="A562" s="3">
        <v>6971</v>
      </c>
      <c r="B562" s="3">
        <v>45278</v>
      </c>
      <c r="C562" s="3" t="s">
        <v>1186</v>
      </c>
      <c r="D562" s="3" t="s">
        <v>1187</v>
      </c>
      <c r="E562" s="4">
        <v>6975</v>
      </c>
      <c r="F562" s="3" t="s">
        <v>78</v>
      </c>
      <c r="G562" s="3" t="s">
        <v>27</v>
      </c>
      <c r="H562" s="3" t="str">
        <f>VLOOKUP(B562,'[1]Select territorios'!$C:$L,10,0)</f>
        <v>9.971889</v>
      </c>
      <c r="I562" s="3" t="str">
        <f>VLOOKUP(B562,'[1]Select territorios'!$C:$M,11,0)</f>
        <v>-73.88199</v>
      </c>
      <c r="J562" s="5" t="s">
        <v>48</v>
      </c>
      <c r="K562" s="5">
        <v>1064795379</v>
      </c>
      <c r="L562" s="5">
        <v>3104688587</v>
      </c>
      <c r="M562" s="5" t="s">
        <v>49</v>
      </c>
    </row>
    <row r="563" spans="1:13" ht="15.75" x14ac:dyDescent="0.25">
      <c r="A563" s="3">
        <v>6971</v>
      </c>
      <c r="B563" s="3">
        <v>45109</v>
      </c>
      <c r="C563" s="3" t="s">
        <v>1188</v>
      </c>
      <c r="D563" s="3" t="s">
        <v>1189</v>
      </c>
      <c r="E563" s="4">
        <v>8552</v>
      </c>
      <c r="F563" s="3" t="s">
        <v>30</v>
      </c>
      <c r="G563" s="3" t="s">
        <v>16</v>
      </c>
      <c r="H563" s="3" t="str">
        <f>VLOOKUP(B563,'[1]Select territorios'!$C:$L,10,0)</f>
        <v>10.4569</v>
      </c>
      <c r="I563" s="3" t="str">
        <f>VLOOKUP(B563,'[1]Select territorios'!$C:$M,11,0)</f>
        <v>-73.2625</v>
      </c>
      <c r="J563" s="5" t="s">
        <v>17</v>
      </c>
      <c r="K563" s="5">
        <v>15173890</v>
      </c>
      <c r="L563" s="5">
        <v>3002039991</v>
      </c>
      <c r="M563" s="5" t="s">
        <v>18</v>
      </c>
    </row>
    <row r="564" spans="1:13" ht="15.75" x14ac:dyDescent="0.25">
      <c r="A564" s="3">
        <v>6971</v>
      </c>
      <c r="B564" s="3">
        <v>45146</v>
      </c>
      <c r="C564" s="3" t="s">
        <v>1190</v>
      </c>
      <c r="D564" s="3" t="s">
        <v>1191</v>
      </c>
      <c r="E564" s="4">
        <v>8562</v>
      </c>
      <c r="F564" s="3" t="s">
        <v>213</v>
      </c>
      <c r="G564" s="3" t="s">
        <v>27</v>
      </c>
      <c r="H564" s="3" t="str">
        <f>VLOOKUP(B564,'[1]Select territorios'!$C:$L,10,0)</f>
        <v>8.3038347</v>
      </c>
      <c r="I564" s="3" t="str">
        <f>VLOOKUP(B564,'[1]Select territorios'!$C:$M,11,0)</f>
        <v>-73.6227045</v>
      </c>
      <c r="J564" s="5" t="s">
        <v>71</v>
      </c>
      <c r="K564" s="5">
        <v>1065818056</v>
      </c>
      <c r="L564" s="5">
        <v>3145467066</v>
      </c>
      <c r="M564" s="5" t="s">
        <v>72</v>
      </c>
    </row>
    <row r="565" spans="1:13" ht="15.75" x14ac:dyDescent="0.25">
      <c r="A565" s="3">
        <v>6971</v>
      </c>
      <c r="B565" s="3">
        <v>45212</v>
      </c>
      <c r="C565" s="3" t="s">
        <v>1192</v>
      </c>
      <c r="D565" s="3" t="s">
        <v>1193</v>
      </c>
      <c r="E565" s="4">
        <v>6997</v>
      </c>
      <c r="F565" s="3" t="s">
        <v>88</v>
      </c>
      <c r="G565" s="3" t="s">
        <v>27</v>
      </c>
      <c r="H565" s="3" t="str">
        <f>VLOOKUP(B565,'[1]Select territorios'!$C:$L,10,0)</f>
        <v>10.243681</v>
      </c>
      <c r="I565" s="3" t="str">
        <f>VLOOKUP(B565,'[1]Select territorios'!$C:$M,11,0)</f>
        <v>-73.14321</v>
      </c>
      <c r="J565" s="5" t="s">
        <v>17</v>
      </c>
      <c r="K565" s="5">
        <v>15173890</v>
      </c>
      <c r="L565" s="5">
        <v>3002039991</v>
      </c>
      <c r="M565" s="5" t="s">
        <v>18</v>
      </c>
    </row>
    <row r="566" spans="1:13" ht="15.75" x14ac:dyDescent="0.25">
      <c r="A566" s="3">
        <v>6971</v>
      </c>
      <c r="B566" s="3">
        <v>45155</v>
      </c>
      <c r="C566" s="3" t="s">
        <v>1194</v>
      </c>
      <c r="D566" s="3" t="s">
        <v>64</v>
      </c>
      <c r="E566" s="4">
        <v>6977</v>
      </c>
      <c r="F566" s="3" t="s">
        <v>52</v>
      </c>
      <c r="G566" s="3" t="s">
        <v>16</v>
      </c>
      <c r="H566" s="3" t="str">
        <f>VLOOKUP(B566,'[1]Select territorios'!$C:$L,10,0)</f>
        <v>9.3646</v>
      </c>
      <c r="I566" s="3" t="str">
        <f>VLOOKUP(B566,'[1]Select territorios'!$C:$M,11,0)</f>
        <v>-73.6052</v>
      </c>
      <c r="J566" s="5" t="s">
        <v>48</v>
      </c>
      <c r="K566" s="5">
        <v>1064795379</v>
      </c>
      <c r="L566" s="5">
        <v>3104688587</v>
      </c>
      <c r="M566" s="5" t="s">
        <v>49</v>
      </c>
    </row>
    <row r="567" spans="1:13" ht="15.75" x14ac:dyDescent="0.25">
      <c r="A567" s="3">
        <v>6971</v>
      </c>
      <c r="B567" s="3">
        <v>45171</v>
      </c>
      <c r="C567" s="3" t="s">
        <v>1195</v>
      </c>
      <c r="D567" s="3" t="s">
        <v>1196</v>
      </c>
      <c r="E567" s="4">
        <v>6986</v>
      </c>
      <c r="F567" s="3" t="s">
        <v>294</v>
      </c>
      <c r="G567" s="3" t="s">
        <v>16</v>
      </c>
      <c r="H567" s="3" t="str">
        <f>VLOOKUP(B567,'[1]Select territorios'!$C:$L,10,0)</f>
        <v>9.6084</v>
      </c>
      <c r="I567" s="3" t="str">
        <f>VLOOKUP(B567,'[1]Select territorios'!$C:$M,11,0)</f>
        <v>-73.6121</v>
      </c>
      <c r="J567" s="5" t="s">
        <v>48</v>
      </c>
      <c r="K567" s="5">
        <v>1064795379</v>
      </c>
      <c r="L567" s="5">
        <v>3104688587</v>
      </c>
      <c r="M567" s="5" t="s">
        <v>49</v>
      </c>
    </row>
    <row r="568" spans="1:13" ht="15.75" x14ac:dyDescent="0.25">
      <c r="A568" s="3">
        <v>6971</v>
      </c>
      <c r="B568" s="3">
        <v>45334</v>
      </c>
      <c r="C568" s="3" t="s">
        <v>1197</v>
      </c>
      <c r="D568" s="3" t="s">
        <v>1198</v>
      </c>
      <c r="E568" s="4">
        <v>6998</v>
      </c>
      <c r="F568" s="3" t="s">
        <v>106</v>
      </c>
      <c r="G568" s="3" t="s">
        <v>27</v>
      </c>
      <c r="H568" s="3" t="str">
        <f>VLOOKUP(B568,'[1]Select territorios'!$C:$L,10,0)</f>
        <v>7.89643</v>
      </c>
      <c r="I568" s="3" t="str">
        <f>VLOOKUP(B568,'[1]Select territorios'!$C:$M,11,0)</f>
        <v>-73.45809833</v>
      </c>
      <c r="J568" s="5" t="s">
        <v>107</v>
      </c>
      <c r="K568" s="5">
        <v>1005281494</v>
      </c>
      <c r="L568" s="5">
        <v>3158541035</v>
      </c>
      <c r="M568" s="5" t="s">
        <v>108</v>
      </c>
    </row>
    <row r="569" spans="1:13" ht="15.75" x14ac:dyDescent="0.25">
      <c r="A569" s="3">
        <v>6971</v>
      </c>
      <c r="B569" s="3">
        <v>45308</v>
      </c>
      <c r="C569" s="3" t="s">
        <v>1199</v>
      </c>
      <c r="D569" s="3" t="s">
        <v>1200</v>
      </c>
      <c r="E569" s="4">
        <v>45388</v>
      </c>
      <c r="F569" s="3" t="s">
        <v>196</v>
      </c>
      <c r="G569" s="3" t="s">
        <v>27</v>
      </c>
      <c r="H569" s="3" t="str">
        <f>VLOOKUP(B569,'[1]Select territorios'!$C:$L,10,0)</f>
        <v>9.9668</v>
      </c>
      <c r="I569" s="3" t="str">
        <f>VLOOKUP(B569,'[1]Select territorios'!$C:$M,11,0)</f>
        <v>-73.8862</v>
      </c>
      <c r="J569" s="5" t="s">
        <v>48</v>
      </c>
      <c r="K569" s="5">
        <v>1064795379</v>
      </c>
      <c r="L569" s="5">
        <v>3104688587</v>
      </c>
      <c r="M569" s="5" t="s">
        <v>49</v>
      </c>
    </row>
    <row r="570" spans="1:13" ht="15.75" x14ac:dyDescent="0.25">
      <c r="A570" s="3">
        <v>6971</v>
      </c>
      <c r="B570" s="3">
        <v>45137</v>
      </c>
      <c r="C570" s="3" t="s">
        <v>1201</v>
      </c>
      <c r="D570" s="3" t="s">
        <v>1202</v>
      </c>
      <c r="E570" s="4">
        <v>45388</v>
      </c>
      <c r="F570" s="3" t="s">
        <v>196</v>
      </c>
      <c r="G570" s="3" t="s">
        <v>16</v>
      </c>
      <c r="H570" s="3" t="str">
        <f>VLOOKUP(B570,'[1]Select territorios'!$C:$L,10,0)</f>
        <v>9.9777</v>
      </c>
      <c r="I570" s="3" t="str">
        <f>VLOOKUP(B570,'[1]Select territorios'!$C:$M,11,0)</f>
        <v>-73.895</v>
      </c>
      <c r="J570" s="5" t="s">
        <v>48</v>
      </c>
      <c r="K570" s="5">
        <v>1064795379</v>
      </c>
      <c r="L570" s="5">
        <v>3104688587</v>
      </c>
      <c r="M570" s="5" t="s">
        <v>49</v>
      </c>
    </row>
    <row r="571" spans="1:13" ht="15.75" x14ac:dyDescent="0.25">
      <c r="A571" s="3">
        <v>6971</v>
      </c>
      <c r="B571" s="3">
        <v>45375</v>
      </c>
      <c r="C571" s="3" t="s">
        <v>1203</v>
      </c>
      <c r="D571" s="3" t="s">
        <v>1204</v>
      </c>
      <c r="E571" s="4">
        <v>43654</v>
      </c>
      <c r="F571" s="3" t="s">
        <v>976</v>
      </c>
      <c r="G571" s="3" t="s">
        <v>27</v>
      </c>
      <c r="H571" s="3" t="str">
        <f>VLOOKUP(B571,'[1]Select territorios'!$C:$L,10,0)</f>
        <v>10.4774</v>
      </c>
      <c r="I571" s="3" t="str">
        <f>VLOOKUP(B571,'[1]Select territorios'!$C:$M,11,0)</f>
        <v>-73.2478</v>
      </c>
      <c r="J571" s="5" t="s">
        <v>23</v>
      </c>
      <c r="K571" s="5">
        <v>1065600058</v>
      </c>
      <c r="L571" s="5">
        <v>3123009293</v>
      </c>
      <c r="M571" s="5" t="s">
        <v>24</v>
      </c>
    </row>
    <row r="572" spans="1:13" ht="15.75" x14ac:dyDescent="0.25">
      <c r="A572" s="3">
        <v>6971</v>
      </c>
      <c r="B572" s="3">
        <v>45321</v>
      </c>
      <c r="C572" s="3" t="s">
        <v>1205</v>
      </c>
      <c r="D572" s="3" t="s">
        <v>416</v>
      </c>
      <c r="E572" s="4">
        <v>6975</v>
      </c>
      <c r="F572" s="3" t="s">
        <v>78</v>
      </c>
      <c r="G572" s="3" t="s">
        <v>16</v>
      </c>
      <c r="H572" s="3" t="str">
        <f>VLOOKUP(B572,'[1]Select territorios'!$C:$L,10,0)</f>
        <v>9.9799</v>
      </c>
      <c r="I572" s="3" t="str">
        <f>VLOOKUP(B572,'[1]Select territorios'!$C:$M,11,0)</f>
        <v>-73.8868</v>
      </c>
      <c r="J572" s="5" t="s">
        <v>48</v>
      </c>
      <c r="K572" s="5">
        <v>1064795379</v>
      </c>
      <c r="L572" s="5">
        <v>3104688587</v>
      </c>
      <c r="M572" s="5" t="s">
        <v>49</v>
      </c>
    </row>
    <row r="573" spans="1:13" ht="15.75" x14ac:dyDescent="0.25">
      <c r="A573" s="3">
        <v>6971</v>
      </c>
      <c r="B573" s="3">
        <v>45312</v>
      </c>
      <c r="C573" s="3" t="s">
        <v>1206</v>
      </c>
      <c r="D573" s="3" t="s">
        <v>1207</v>
      </c>
      <c r="E573" s="4">
        <v>45386</v>
      </c>
      <c r="F573" s="3" t="s">
        <v>67</v>
      </c>
      <c r="G573" s="3" t="s">
        <v>27</v>
      </c>
      <c r="H573" s="3" t="str">
        <f>VLOOKUP(B573,'[1]Select territorios'!$C:$L,10,0)</f>
        <v>10.333607</v>
      </c>
      <c r="I573" s="3" t="str">
        <f>VLOOKUP(B573,'[1]Select territorios'!$C:$M,11,0)</f>
        <v>-73.334552</v>
      </c>
      <c r="J573" s="5" t="s">
        <v>40</v>
      </c>
      <c r="K573" s="5">
        <v>1003275622</v>
      </c>
      <c r="L573" s="5">
        <v>3218847746</v>
      </c>
      <c r="M573" s="5" t="s">
        <v>41</v>
      </c>
    </row>
    <row r="574" spans="1:13" ht="15.75" x14ac:dyDescent="0.25">
      <c r="A574" s="3">
        <v>6971</v>
      </c>
      <c r="B574" s="3">
        <v>45349</v>
      </c>
      <c r="C574" s="3" t="s">
        <v>1208</v>
      </c>
      <c r="D574" s="3" t="s">
        <v>1209</v>
      </c>
      <c r="E574" s="4">
        <v>6975</v>
      </c>
      <c r="F574" s="3" t="s">
        <v>78</v>
      </c>
      <c r="G574" s="3" t="s">
        <v>27</v>
      </c>
      <c r="H574" s="3" t="str">
        <f>VLOOKUP(B574,'[1]Select territorios'!$C:$L,10,0)</f>
        <v>9.9787</v>
      </c>
      <c r="I574" s="3" t="str">
        <f>VLOOKUP(B574,'[1]Select territorios'!$C:$M,11,0)</f>
        <v>-73.8775</v>
      </c>
      <c r="J574" s="5" t="s">
        <v>48</v>
      </c>
      <c r="K574" s="5">
        <v>1064795379</v>
      </c>
      <c r="L574" s="5">
        <v>3104688587</v>
      </c>
      <c r="M574" s="5" t="s">
        <v>49</v>
      </c>
    </row>
    <row r="575" spans="1:13" ht="15.75" x14ac:dyDescent="0.25">
      <c r="A575" s="3">
        <v>6971</v>
      </c>
      <c r="B575" s="3">
        <v>45430</v>
      </c>
      <c r="C575" s="3" t="s">
        <v>1210</v>
      </c>
      <c r="D575" s="3" t="s">
        <v>1211</v>
      </c>
      <c r="E575" s="4">
        <v>43654</v>
      </c>
      <c r="F575" s="3" t="s">
        <v>976</v>
      </c>
      <c r="G575" s="3" t="s">
        <v>631</v>
      </c>
      <c r="H575" s="3" t="str">
        <f>VLOOKUP(B575,'[1]Select territorios'!$C:$L,10,0)</f>
        <v>10.4752</v>
      </c>
      <c r="I575" s="3" t="str">
        <f>VLOOKUP(B575,'[1]Select territorios'!$C:$M,11,0)</f>
        <v>-73.2469</v>
      </c>
      <c r="J575" s="5" t="s">
        <v>23</v>
      </c>
      <c r="K575" s="5">
        <v>1065600058</v>
      </c>
      <c r="L575" s="5">
        <v>3123009293</v>
      </c>
      <c r="M575" s="5" t="s">
        <v>24</v>
      </c>
    </row>
    <row r="576" spans="1:13" ht="15.75" x14ac:dyDescent="0.25">
      <c r="A576" s="3">
        <v>6971</v>
      </c>
      <c r="B576" s="3">
        <v>45138</v>
      </c>
      <c r="C576" s="3" t="s">
        <v>1212</v>
      </c>
      <c r="D576" s="3" t="s">
        <v>1213</v>
      </c>
      <c r="E576" s="4">
        <v>6973</v>
      </c>
      <c r="F576" s="3" t="s">
        <v>128</v>
      </c>
      <c r="G576" s="3" t="s">
        <v>16</v>
      </c>
      <c r="H576" s="3" t="str">
        <f>VLOOKUP(B576,'[1]Select territorios'!$C:$L,10,0)</f>
        <v>9.4957</v>
      </c>
      <c r="I576" s="3" t="str">
        <f>VLOOKUP(B576,'[1]Select territorios'!$C:$M,11,0)</f>
        <v>-73.9755</v>
      </c>
      <c r="J576" s="5" t="s">
        <v>48</v>
      </c>
      <c r="K576" s="5">
        <v>1064795379</v>
      </c>
      <c r="L576" s="5">
        <v>3104688587</v>
      </c>
      <c r="M576" s="5" t="s">
        <v>49</v>
      </c>
    </row>
    <row r="577" spans="1:13" ht="15.75" x14ac:dyDescent="0.25">
      <c r="A577" s="3">
        <v>6971</v>
      </c>
      <c r="B577" s="3">
        <v>45322</v>
      </c>
      <c r="C577" s="3" t="s">
        <v>1214</v>
      </c>
      <c r="D577" s="3" t="s">
        <v>1215</v>
      </c>
      <c r="E577" s="4">
        <v>6988</v>
      </c>
      <c r="F577" s="3" t="s">
        <v>227</v>
      </c>
      <c r="G577" s="3" t="s">
        <v>16</v>
      </c>
      <c r="H577" s="3" t="str">
        <f>VLOOKUP(B577,'[1]Select territorios'!$C:$L,10,0)</f>
        <v>10.391</v>
      </c>
      <c r="I577" s="3" t="str">
        <f>VLOOKUP(B577,'[1]Select territorios'!$C:$M,11,0)</f>
        <v>-73.174473</v>
      </c>
      <c r="J577" s="5" t="s">
        <v>23</v>
      </c>
      <c r="K577" s="5">
        <v>1065600058</v>
      </c>
      <c r="L577" s="5">
        <v>3123009293</v>
      </c>
      <c r="M577" s="5" t="s">
        <v>24</v>
      </c>
    </row>
    <row r="578" spans="1:13" ht="15.75" x14ac:dyDescent="0.25">
      <c r="A578" s="3">
        <v>6971</v>
      </c>
      <c r="B578" s="3">
        <v>45331</v>
      </c>
      <c r="C578" s="3" t="s">
        <v>1216</v>
      </c>
      <c r="D578" s="3" t="s">
        <v>1217</v>
      </c>
      <c r="E578" s="4">
        <v>6996</v>
      </c>
      <c r="F578" s="3" t="s">
        <v>113</v>
      </c>
      <c r="G578" s="3" t="s">
        <v>27</v>
      </c>
      <c r="H578" s="3" t="str">
        <f>VLOOKUP(B578,'[1]Select territorios'!$C:$L,10,0)</f>
        <v>7.765643</v>
      </c>
      <c r="I578" s="3" t="str">
        <f>VLOOKUP(B578,'[1]Select territorios'!$C:$M,11,0)</f>
        <v>-73.389916</v>
      </c>
      <c r="J578" s="5" t="s">
        <v>107</v>
      </c>
      <c r="K578" s="5">
        <v>1005281494</v>
      </c>
      <c r="L578" s="5">
        <v>3158541035</v>
      </c>
      <c r="M578" s="5" t="s">
        <v>108</v>
      </c>
    </row>
    <row r="579" spans="1:13" ht="15.75" x14ac:dyDescent="0.25">
      <c r="A579" s="3">
        <v>6971</v>
      </c>
      <c r="B579" s="3">
        <v>45382</v>
      </c>
      <c r="C579" s="3" t="s">
        <v>1218</v>
      </c>
      <c r="D579" s="3" t="s">
        <v>1219</v>
      </c>
      <c r="E579" s="4">
        <v>8554</v>
      </c>
      <c r="F579" s="3" t="s">
        <v>67</v>
      </c>
      <c r="G579" s="3" t="s">
        <v>27</v>
      </c>
      <c r="H579" s="3" t="str">
        <f>VLOOKUP(B579,'[1]Select territorios'!$C:$L,10,0)</f>
        <v>10.436917</v>
      </c>
      <c r="I579" s="3" t="str">
        <f>VLOOKUP(B579,'[1]Select territorios'!$C:$M,11,0)</f>
        <v>-73.252842</v>
      </c>
      <c r="J579" s="5" t="s">
        <v>40</v>
      </c>
      <c r="K579" s="5">
        <v>1003275622</v>
      </c>
      <c r="L579" s="5">
        <v>3218847746</v>
      </c>
      <c r="M579" s="5" t="s">
        <v>41</v>
      </c>
    </row>
    <row r="580" spans="1:13" ht="15.75" x14ac:dyDescent="0.25">
      <c r="A580" s="3">
        <v>6971</v>
      </c>
      <c r="B580" s="3">
        <v>45412</v>
      </c>
      <c r="C580" s="3" t="s">
        <v>1220</v>
      </c>
      <c r="D580" s="3" t="s">
        <v>622</v>
      </c>
      <c r="E580" s="4">
        <v>6979</v>
      </c>
      <c r="F580" s="3" t="s">
        <v>57</v>
      </c>
      <c r="G580" s="3" t="s">
        <v>27</v>
      </c>
      <c r="H580" s="3" t="str">
        <f>VLOOKUP(B580,'[1]Select territorios'!$C:$L,10,0)</f>
        <v>9.203957</v>
      </c>
      <c r="I580" s="3" t="str">
        <f>VLOOKUP(B580,'[1]Select territorios'!$C:$M,11,0)</f>
        <v>-73.542313</v>
      </c>
      <c r="J580" s="5" t="s">
        <v>58</v>
      </c>
      <c r="K580" s="5">
        <v>1193146338</v>
      </c>
      <c r="L580" s="5">
        <v>3202114923</v>
      </c>
      <c r="M580" s="5" t="s">
        <v>59</v>
      </c>
    </row>
    <row r="581" spans="1:13" ht="15.75" x14ac:dyDescent="0.25">
      <c r="A581" s="3">
        <v>6971</v>
      </c>
      <c r="B581" s="3">
        <v>45325</v>
      </c>
      <c r="C581" s="3" t="s">
        <v>1221</v>
      </c>
      <c r="D581" s="3" t="s">
        <v>1222</v>
      </c>
      <c r="E581" s="4">
        <v>18935</v>
      </c>
      <c r="F581" s="3" t="s">
        <v>44</v>
      </c>
      <c r="G581" s="3" t="s">
        <v>16</v>
      </c>
      <c r="H581" s="3" t="str">
        <f>VLOOKUP(B581,'[1]Select territorios'!$C:$L,10,0)</f>
        <v>10.4559</v>
      </c>
      <c r="I581" s="3" t="str">
        <f>VLOOKUP(B581,'[1]Select territorios'!$C:$M,11,0)</f>
        <v>-73.2554</v>
      </c>
      <c r="J581" s="5" t="s">
        <v>40</v>
      </c>
      <c r="K581" s="5">
        <v>1003275622</v>
      </c>
      <c r="L581" s="5">
        <v>3218847746</v>
      </c>
      <c r="M581" s="5" t="s">
        <v>41</v>
      </c>
    </row>
    <row r="582" spans="1:13" ht="15.75" x14ac:dyDescent="0.25">
      <c r="A582" s="3">
        <v>6971</v>
      </c>
      <c r="B582" s="3">
        <v>45409</v>
      </c>
      <c r="C582" s="3" t="s">
        <v>1223</v>
      </c>
      <c r="D582" s="3" t="s">
        <v>1224</v>
      </c>
      <c r="E582" s="4">
        <v>6997</v>
      </c>
      <c r="F582" s="3" t="s">
        <v>88</v>
      </c>
      <c r="G582" s="3" t="s">
        <v>16</v>
      </c>
      <c r="H582" s="3" t="str">
        <f>VLOOKUP(B582,'[1]Select territorios'!$C:$L,10,0)</f>
        <v>10.3357</v>
      </c>
      <c r="I582" s="3" t="str">
        <f>VLOOKUP(B582,'[1]Select territorios'!$C:$M,11,0)</f>
        <v>-73.1802</v>
      </c>
      <c r="J582" s="5" t="s">
        <v>17</v>
      </c>
      <c r="K582" s="5">
        <v>15173890</v>
      </c>
      <c r="L582" s="5">
        <v>3002039991</v>
      </c>
      <c r="M582" s="5" t="s">
        <v>18</v>
      </c>
    </row>
    <row r="583" spans="1:13" ht="15.75" x14ac:dyDescent="0.25">
      <c r="A583" s="3">
        <v>6971</v>
      </c>
      <c r="B583" s="3">
        <v>8408</v>
      </c>
      <c r="C583" s="3" t="s">
        <v>1225</v>
      </c>
      <c r="D583" s="3" t="s">
        <v>1226</v>
      </c>
      <c r="E583" s="4">
        <v>9206</v>
      </c>
      <c r="F583" s="3" t="s">
        <v>33</v>
      </c>
      <c r="G583" s="3" t="s">
        <v>16</v>
      </c>
      <c r="H583" s="3" t="str">
        <f>VLOOKUP(B583,'[1]Select territorios'!$C:$L,10,0)</f>
        <v>10.454621</v>
      </c>
      <c r="I583" s="3" t="str">
        <f>VLOOKUP(B583,'[1]Select territorios'!$C:$M,11,0)</f>
        <v>-73.264245</v>
      </c>
      <c r="J583" s="5" t="s">
        <v>17</v>
      </c>
      <c r="K583" s="5">
        <v>15173890</v>
      </c>
      <c r="L583" s="5">
        <v>3002039991</v>
      </c>
      <c r="M583" s="5" t="s">
        <v>18</v>
      </c>
    </row>
    <row r="584" spans="1:13" ht="15.75" x14ac:dyDescent="0.25">
      <c r="A584" s="3">
        <v>6971</v>
      </c>
      <c r="B584" s="3">
        <v>45364</v>
      </c>
      <c r="C584" s="3" t="s">
        <v>1227</v>
      </c>
      <c r="D584" s="3" t="s">
        <v>1228</v>
      </c>
      <c r="E584" s="4">
        <v>8556</v>
      </c>
      <c r="F584" s="3" t="s">
        <v>36</v>
      </c>
      <c r="G584" s="3" t="s">
        <v>27</v>
      </c>
      <c r="H584" s="3" t="str">
        <f>VLOOKUP(B584,'[1]Select territorios'!$C:$L,10,0)</f>
        <v>10.474</v>
      </c>
      <c r="I584" s="3" t="str">
        <f>VLOOKUP(B584,'[1]Select territorios'!$C:$M,11,0)</f>
        <v>-73.2393</v>
      </c>
      <c r="J584" s="5" t="s">
        <v>23</v>
      </c>
      <c r="K584" s="5">
        <v>1065600058</v>
      </c>
      <c r="L584" s="5">
        <v>3123009293</v>
      </c>
      <c r="M584" s="5" t="s">
        <v>24</v>
      </c>
    </row>
    <row r="585" spans="1:13" ht="15.75" x14ac:dyDescent="0.25">
      <c r="A585" s="3">
        <v>6971</v>
      </c>
      <c r="B585" s="3">
        <v>45445</v>
      </c>
      <c r="C585" s="3" t="s">
        <v>1229</v>
      </c>
      <c r="D585" s="3" t="s">
        <v>1230</v>
      </c>
      <c r="E585" s="4">
        <v>18936</v>
      </c>
      <c r="F585" s="3" t="s">
        <v>21</v>
      </c>
      <c r="G585" s="3" t="s">
        <v>16</v>
      </c>
      <c r="H585" s="3" t="str">
        <f>VLOOKUP(B585,'[1]Select territorios'!$C:$L,10,0)</f>
        <v>10.485229</v>
      </c>
      <c r="I585" s="3" t="str">
        <f>VLOOKUP(B585,'[1]Select territorios'!$C:$M,11,0)</f>
        <v>-73.18468</v>
      </c>
      <c r="J585" s="5" t="s">
        <v>23</v>
      </c>
      <c r="K585" s="5">
        <v>1065600058</v>
      </c>
      <c r="L585" s="5">
        <v>3123009293</v>
      </c>
      <c r="M585" s="5" t="s">
        <v>24</v>
      </c>
    </row>
    <row r="586" spans="1:13" ht="15.75" x14ac:dyDescent="0.25">
      <c r="A586" s="3">
        <v>6971</v>
      </c>
      <c r="B586" s="3">
        <v>45385</v>
      </c>
      <c r="C586" s="3" t="s">
        <v>1231</v>
      </c>
      <c r="D586" s="3" t="s">
        <v>1232</v>
      </c>
      <c r="E586" s="4">
        <v>6976</v>
      </c>
      <c r="F586" s="3" t="s">
        <v>96</v>
      </c>
      <c r="G586" s="3" t="s">
        <v>631</v>
      </c>
      <c r="H586" s="3" t="str">
        <f>VLOOKUP(B586,'[1]Select territorios'!$C:$L,10,0)</f>
        <v>9.352088</v>
      </c>
      <c r="I586" s="3" t="str">
        <f>VLOOKUP(B586,'[1]Select territorios'!$C:$M,11,0)</f>
        <v>-73.884754</v>
      </c>
      <c r="J586" s="5" t="s">
        <v>48</v>
      </c>
      <c r="K586" s="5">
        <v>1064795379</v>
      </c>
      <c r="L586" s="5">
        <v>3104688587</v>
      </c>
      <c r="M586" s="5" t="s">
        <v>49</v>
      </c>
    </row>
    <row r="587" spans="1:13" ht="15.75" x14ac:dyDescent="0.25">
      <c r="A587" s="3">
        <v>6971</v>
      </c>
      <c r="B587" s="3">
        <v>45262</v>
      </c>
      <c r="C587" s="3" t="s">
        <v>1233</v>
      </c>
      <c r="D587" s="3" t="s">
        <v>1234</v>
      </c>
      <c r="E587" s="4">
        <v>6980</v>
      </c>
      <c r="F587" s="3" t="s">
        <v>384</v>
      </c>
      <c r="G587" s="3" t="s">
        <v>16</v>
      </c>
      <c r="H587" s="3" t="str">
        <f>VLOOKUP(B587,'[1]Select territorios'!$C:$L,10,0)</f>
        <v>10.194694</v>
      </c>
      <c r="I587" s="3" t="str">
        <f>VLOOKUP(B587,'[1]Select territorios'!$C:$M,11,0)</f>
        <v>-73.971379</v>
      </c>
      <c r="J587" s="5" t="s">
        <v>48</v>
      </c>
      <c r="K587" s="5">
        <v>1064795379</v>
      </c>
      <c r="L587" s="5">
        <v>3104688587</v>
      </c>
      <c r="M587" s="5" t="s">
        <v>49</v>
      </c>
    </row>
    <row r="588" spans="1:13" ht="15.75" x14ac:dyDescent="0.25">
      <c r="A588" s="3">
        <v>6971</v>
      </c>
      <c r="B588" s="3">
        <v>45314</v>
      </c>
      <c r="C588" s="3" t="s">
        <v>1235</v>
      </c>
      <c r="D588" s="3" t="s">
        <v>1236</v>
      </c>
      <c r="E588" s="4">
        <v>6982</v>
      </c>
      <c r="F588" s="3" t="s">
        <v>118</v>
      </c>
      <c r="G588" s="3" t="s">
        <v>27</v>
      </c>
      <c r="H588" s="3" t="str">
        <f>VLOOKUP(B588,'[1]Select territorios'!$C:$L,10,0)</f>
        <v>8.31921</v>
      </c>
      <c r="I588" s="3" t="str">
        <f>VLOOKUP(B588,'[1]Select territorios'!$C:$M,11,0)</f>
        <v>-73.742451</v>
      </c>
      <c r="J588" s="5" t="s">
        <v>107</v>
      </c>
      <c r="K588" s="5">
        <v>1005281494</v>
      </c>
      <c r="L588" s="5">
        <v>3158541035</v>
      </c>
      <c r="M588" s="5" t="s">
        <v>108</v>
      </c>
    </row>
    <row r="589" spans="1:13" ht="15.75" x14ac:dyDescent="0.25">
      <c r="A589" s="3">
        <v>6971</v>
      </c>
      <c r="B589" s="3">
        <v>45305</v>
      </c>
      <c r="C589" s="3" t="s">
        <v>1237</v>
      </c>
      <c r="D589" s="3" t="s">
        <v>1238</v>
      </c>
      <c r="E589" s="4">
        <v>6982</v>
      </c>
      <c r="F589" s="3" t="s">
        <v>118</v>
      </c>
      <c r="G589" s="3" t="s">
        <v>27</v>
      </c>
      <c r="H589" s="3" t="str">
        <f>VLOOKUP(B589,'[1]Select territorios'!$C:$L,10,0)</f>
        <v>8.319003</v>
      </c>
      <c r="I589" s="3" t="str">
        <f>VLOOKUP(B589,'[1]Select territorios'!$C:$M,11,0)</f>
        <v>-73.743445</v>
      </c>
      <c r="J589" s="5" t="s">
        <v>107</v>
      </c>
      <c r="K589" s="5">
        <v>1005281494</v>
      </c>
      <c r="L589" s="5">
        <v>3158541035</v>
      </c>
      <c r="M589" s="5" t="s">
        <v>108</v>
      </c>
    </row>
    <row r="590" spans="1:13" ht="15.75" x14ac:dyDescent="0.25">
      <c r="A590" s="3">
        <v>6971</v>
      </c>
      <c r="B590" s="3">
        <v>45442</v>
      </c>
      <c r="C590" s="3" t="s">
        <v>1239</v>
      </c>
      <c r="D590" s="3" t="s">
        <v>1240</v>
      </c>
      <c r="E590" s="4">
        <v>6975</v>
      </c>
      <c r="F590" s="3" t="s">
        <v>78</v>
      </c>
      <c r="G590" s="3" t="s">
        <v>631</v>
      </c>
      <c r="H590" s="3" t="str">
        <f>VLOOKUP(B590,'[1]Select territorios'!$C:$L,10,0)</f>
        <v>9.97748</v>
      </c>
      <c r="I590" s="3" t="str">
        <f>VLOOKUP(B590,'[1]Select territorios'!$C:$M,11,0)</f>
        <v>-73.876823</v>
      </c>
      <c r="J590" s="5" t="s">
        <v>48</v>
      </c>
      <c r="K590" s="5">
        <v>1064795379</v>
      </c>
      <c r="L590" s="5">
        <v>3104688587</v>
      </c>
      <c r="M590" s="5" t="s">
        <v>49</v>
      </c>
    </row>
    <row r="591" spans="1:13" ht="15.75" x14ac:dyDescent="0.25">
      <c r="A591" s="3">
        <v>6971</v>
      </c>
      <c r="B591" s="3">
        <v>45189</v>
      </c>
      <c r="C591" s="3" t="s">
        <v>1241</v>
      </c>
      <c r="D591" s="3" t="s">
        <v>1242</v>
      </c>
      <c r="E591" s="4">
        <v>6981</v>
      </c>
      <c r="F591" s="3" t="s">
        <v>47</v>
      </c>
      <c r="G591" s="3" t="s">
        <v>16</v>
      </c>
      <c r="H591" s="3" t="str">
        <f>VLOOKUP(B591,'[1]Select territorios'!$C:$L,10,0)</f>
        <v>9.6597</v>
      </c>
      <c r="I591" s="3" t="str">
        <f>VLOOKUP(B591,'[1]Select territorios'!$C:$M,11,0)</f>
        <v>-73.7457</v>
      </c>
      <c r="J591" s="5" t="s">
        <v>48</v>
      </c>
      <c r="K591" s="5">
        <v>1064795379</v>
      </c>
      <c r="L591" s="5">
        <v>3104688587</v>
      </c>
      <c r="M591" s="5" t="s">
        <v>49</v>
      </c>
    </row>
    <row r="592" spans="1:13" ht="15.75" x14ac:dyDescent="0.25">
      <c r="A592" s="3">
        <v>6971</v>
      </c>
      <c r="B592" s="3">
        <v>45337</v>
      </c>
      <c r="C592" s="3" t="s">
        <v>1243</v>
      </c>
      <c r="D592" s="3" t="s">
        <v>1244</v>
      </c>
      <c r="E592" s="4">
        <v>6996</v>
      </c>
      <c r="F592" s="3" t="s">
        <v>113</v>
      </c>
      <c r="G592" s="3" t="s">
        <v>27</v>
      </c>
      <c r="H592" s="3" t="str">
        <f>VLOOKUP(B592,'[1]Select territorios'!$C:$L,10,0)</f>
        <v>7.757376</v>
      </c>
      <c r="I592" s="3" t="str">
        <f>VLOOKUP(B592,'[1]Select territorios'!$C:$M,11,0)</f>
        <v>-73.394001</v>
      </c>
      <c r="J592" s="5" t="s">
        <v>107</v>
      </c>
      <c r="K592" s="5">
        <v>1005281494</v>
      </c>
      <c r="L592" s="5">
        <v>3158541035</v>
      </c>
      <c r="M592" s="5" t="s">
        <v>108</v>
      </c>
    </row>
    <row r="593" spans="1:13" ht="15.75" x14ac:dyDescent="0.25">
      <c r="A593" s="3">
        <v>6971</v>
      </c>
      <c r="B593" s="3">
        <v>45153</v>
      </c>
      <c r="C593" s="3" t="s">
        <v>1245</v>
      </c>
      <c r="D593" s="3" t="s">
        <v>1246</v>
      </c>
      <c r="E593" s="4">
        <v>8562</v>
      </c>
      <c r="F593" s="3" t="s">
        <v>213</v>
      </c>
      <c r="G593" s="3" t="s">
        <v>27</v>
      </c>
      <c r="H593" s="3" t="str">
        <f>VLOOKUP(B593,'[1]Select territorios'!$C:$L,10,0)</f>
        <v>8.304285</v>
      </c>
      <c r="I593" s="3" t="str">
        <f>VLOOKUP(B593,'[1]Select territorios'!$C:$M,11,0)</f>
        <v>-73.623629</v>
      </c>
      <c r="J593" s="5" t="s">
        <v>71</v>
      </c>
      <c r="K593" s="5">
        <v>1065818056</v>
      </c>
      <c r="L593" s="5">
        <v>3145467066</v>
      </c>
      <c r="M593" s="5" t="s">
        <v>72</v>
      </c>
    </row>
    <row r="594" spans="1:13" ht="15.75" x14ac:dyDescent="0.25">
      <c r="A594" s="3">
        <v>6971</v>
      </c>
      <c r="B594" s="3">
        <v>45411</v>
      </c>
      <c r="C594" s="3" t="s">
        <v>1247</v>
      </c>
      <c r="D594" s="3" t="s">
        <v>1248</v>
      </c>
      <c r="E594" s="4">
        <v>8560</v>
      </c>
      <c r="F594" s="3" t="s">
        <v>161</v>
      </c>
      <c r="G594" s="3" t="s">
        <v>27</v>
      </c>
      <c r="H594" s="3" t="str">
        <f>VLOOKUP(B594,'[1]Select territorios'!$C:$L,10,0)</f>
        <v>8.3222</v>
      </c>
      <c r="I594" s="3" t="str">
        <f>VLOOKUP(B594,'[1]Select territorios'!$C:$M,11,0)</f>
        <v>-73.587777</v>
      </c>
      <c r="J594" s="5" t="s">
        <v>107</v>
      </c>
      <c r="K594" s="5">
        <v>1005281494</v>
      </c>
      <c r="L594" s="5">
        <v>3158541035</v>
      </c>
      <c r="M594" s="5" t="s">
        <v>108</v>
      </c>
    </row>
    <row r="595" spans="1:13" ht="15.75" x14ac:dyDescent="0.25">
      <c r="A595" s="3">
        <v>6971</v>
      </c>
      <c r="B595" s="3">
        <v>45485</v>
      </c>
      <c r="C595" s="3" t="s">
        <v>1249</v>
      </c>
      <c r="D595" s="3" t="s">
        <v>1250</v>
      </c>
      <c r="E595" s="4">
        <v>6985</v>
      </c>
      <c r="F595" s="3" t="s">
        <v>101</v>
      </c>
      <c r="G595" s="3" t="s">
        <v>27</v>
      </c>
      <c r="H595" s="3" t="str">
        <f>VLOOKUP(B595,'[1]Select territorios'!$C:$L,10,0)</f>
        <v>9.5519</v>
      </c>
      <c r="I595" s="3" t="str">
        <f>VLOOKUP(B595,'[1]Select territorios'!$C:$M,11,0)</f>
        <v>-73.3325</v>
      </c>
      <c r="J595" s="5" t="s">
        <v>58</v>
      </c>
      <c r="K595" s="5">
        <v>1193146338</v>
      </c>
      <c r="L595" s="5">
        <v>3202114923</v>
      </c>
      <c r="M595" s="5" t="s">
        <v>59</v>
      </c>
    </row>
    <row r="596" spans="1:13" ht="15.75" x14ac:dyDescent="0.25">
      <c r="A596" s="3">
        <v>6971</v>
      </c>
      <c r="B596" s="3">
        <v>45423</v>
      </c>
      <c r="C596" s="3" t="s">
        <v>1251</v>
      </c>
      <c r="D596" s="3" t="s">
        <v>1252</v>
      </c>
      <c r="E596" s="4">
        <v>6990</v>
      </c>
      <c r="F596" s="3" t="s">
        <v>131</v>
      </c>
      <c r="G596" s="3" t="s">
        <v>27</v>
      </c>
      <c r="H596" s="3" t="str">
        <f>VLOOKUP(B596,'[1]Select territorios'!$C:$L,10,0)</f>
        <v>8.958205</v>
      </c>
      <c r="I596" s="3" t="str">
        <f>VLOOKUP(B596,'[1]Select territorios'!$C:$M,11,0)</f>
        <v>-73.623584</v>
      </c>
      <c r="J596" s="5" t="s">
        <v>71</v>
      </c>
      <c r="K596" s="5">
        <v>1065818056</v>
      </c>
      <c r="L596" s="5">
        <v>3145467066</v>
      </c>
      <c r="M596" s="5" t="s">
        <v>72</v>
      </c>
    </row>
    <row r="597" spans="1:13" ht="15.75" x14ac:dyDescent="0.25">
      <c r="A597" s="3">
        <v>6971</v>
      </c>
      <c r="B597" s="3">
        <v>45367</v>
      </c>
      <c r="C597" s="3" t="s">
        <v>1253</v>
      </c>
      <c r="D597" s="3" t="s">
        <v>1254</v>
      </c>
      <c r="E597" s="4">
        <v>6972</v>
      </c>
      <c r="F597" s="3" t="s">
        <v>173</v>
      </c>
      <c r="G597" s="3" t="s">
        <v>27</v>
      </c>
      <c r="H597" s="3" t="str">
        <f>VLOOKUP(B597,'[1]Select territorios'!$C:$L,10,0)</f>
        <v>8.312189</v>
      </c>
      <c r="I597" s="3" t="str">
        <f>VLOOKUP(B597,'[1]Select territorios'!$C:$M,11,0)</f>
        <v>-73.615308</v>
      </c>
      <c r="J597" s="5" t="s">
        <v>71</v>
      </c>
      <c r="K597" s="5">
        <v>1065818056</v>
      </c>
      <c r="L597" s="5">
        <v>3145467066</v>
      </c>
      <c r="M597" s="5" t="s">
        <v>72</v>
      </c>
    </row>
    <row r="598" spans="1:13" ht="15.75" x14ac:dyDescent="0.25">
      <c r="A598" s="3">
        <v>6971</v>
      </c>
      <c r="B598" s="3">
        <v>46176</v>
      </c>
      <c r="C598" s="3" t="s">
        <v>1255</v>
      </c>
      <c r="D598" s="3" t="s">
        <v>1256</v>
      </c>
      <c r="E598" s="4">
        <v>6991</v>
      </c>
      <c r="F598" s="3" t="s">
        <v>70</v>
      </c>
      <c r="G598" s="3" t="s">
        <v>27</v>
      </c>
      <c r="H598" s="3" t="str">
        <f>VLOOKUP(B598,'[1]Select territorios'!$C:$L,10,0)</f>
        <v>8.734580926</v>
      </c>
      <c r="I598" s="3" t="str">
        <f>VLOOKUP(B598,'[1]Select territorios'!$C:$M,11,0)</f>
        <v>-73.7241345</v>
      </c>
      <c r="J598" s="5" t="s">
        <v>71</v>
      </c>
      <c r="K598" s="5">
        <v>1065818056</v>
      </c>
      <c r="L598" s="5">
        <v>3145467066</v>
      </c>
      <c r="M598" s="5" t="s">
        <v>72</v>
      </c>
    </row>
    <row r="599" spans="1:13" ht="15.75" x14ac:dyDescent="0.25">
      <c r="A599" s="3">
        <v>6971</v>
      </c>
      <c r="B599" s="3">
        <v>45456</v>
      </c>
      <c r="C599" s="3" t="s">
        <v>1257</v>
      </c>
      <c r="D599" s="3" t="s">
        <v>1258</v>
      </c>
      <c r="E599" s="4">
        <v>6993</v>
      </c>
      <c r="F599" s="3" t="s">
        <v>370</v>
      </c>
      <c r="G599" s="3" t="s">
        <v>27</v>
      </c>
      <c r="H599" s="3" t="str">
        <f>VLOOKUP(B599,'[1]Select territorios'!$C:$L,10,0)</f>
        <v>10.3647</v>
      </c>
      <c r="I599" s="3" t="str">
        <f>VLOOKUP(B599,'[1]Select territorios'!$C:$M,11,0)</f>
        <v>-73.4974</v>
      </c>
      <c r="J599" s="5" t="s">
        <v>40</v>
      </c>
      <c r="K599" s="5">
        <v>1003275622</v>
      </c>
      <c r="L599" s="5">
        <v>3218847746</v>
      </c>
      <c r="M599" s="5" t="s">
        <v>41</v>
      </c>
    </row>
    <row r="600" spans="1:13" ht="15.75" x14ac:dyDescent="0.25">
      <c r="A600" s="3">
        <v>6971</v>
      </c>
      <c r="B600" s="3">
        <v>45482</v>
      </c>
      <c r="C600" s="3" t="s">
        <v>1259</v>
      </c>
      <c r="D600" s="3" t="s">
        <v>1260</v>
      </c>
      <c r="E600" s="4">
        <v>6978</v>
      </c>
      <c r="F600" s="3" t="s">
        <v>91</v>
      </c>
      <c r="G600" s="3" t="s">
        <v>27</v>
      </c>
      <c r="H600" s="3" t="str">
        <f>VLOOKUP(B600,'[1]Select territorios'!$C:$L,10,0)</f>
        <v>10.04434</v>
      </c>
      <c r="I600" s="3" t="str">
        <f>VLOOKUP(B600,'[1]Select territorios'!$C:$M,11,0)</f>
        <v>-73.23007</v>
      </c>
      <c r="J600" s="5" t="s">
        <v>58</v>
      </c>
      <c r="K600" s="5">
        <v>1193146338</v>
      </c>
      <c r="L600" s="5">
        <v>3202114923</v>
      </c>
      <c r="M600" s="5" t="s">
        <v>59</v>
      </c>
    </row>
    <row r="601" spans="1:13" ht="15.75" x14ac:dyDescent="0.25">
      <c r="A601" s="3">
        <v>6971</v>
      </c>
      <c r="B601" s="3">
        <v>46208</v>
      </c>
      <c r="C601" s="3" t="s">
        <v>1261</v>
      </c>
      <c r="D601" s="3" t="s">
        <v>1262</v>
      </c>
      <c r="E601" s="4">
        <v>9206</v>
      </c>
      <c r="F601" s="3" t="s">
        <v>33</v>
      </c>
      <c r="G601" s="3" t="s">
        <v>27</v>
      </c>
      <c r="H601" s="3" t="str">
        <f>VLOOKUP(B601,'[1]Select territorios'!$C:$L,10,0)</f>
        <v>10.45434</v>
      </c>
      <c r="I601" s="3" t="str">
        <f>VLOOKUP(B601,'[1]Select territorios'!$C:$M,11,0)</f>
        <v>-73.24733</v>
      </c>
      <c r="J601" s="5" t="s">
        <v>17</v>
      </c>
      <c r="K601" s="5">
        <v>15173890</v>
      </c>
      <c r="L601" s="5">
        <v>3002039991</v>
      </c>
      <c r="M601" s="5" t="s">
        <v>18</v>
      </c>
    </row>
    <row r="602" spans="1:13" ht="15.75" x14ac:dyDescent="0.25">
      <c r="A602" s="3">
        <v>6971</v>
      </c>
      <c r="B602" s="3">
        <v>45733</v>
      </c>
      <c r="C602" s="3" t="s">
        <v>1263</v>
      </c>
      <c r="D602" s="3" t="s">
        <v>1264</v>
      </c>
      <c r="E602" s="4">
        <v>7001</v>
      </c>
      <c r="F602" s="3" t="s">
        <v>55</v>
      </c>
      <c r="G602" s="3" t="s">
        <v>27</v>
      </c>
      <c r="H602" s="3" t="str">
        <f>VLOOKUP(B602,'[1]Select territorios'!$C:$L,10,0)</f>
        <v>10.473</v>
      </c>
      <c r="I602" s="3" t="str">
        <f>VLOOKUP(B602,'[1]Select territorios'!$C:$M,11,0)</f>
        <v>-73.2474</v>
      </c>
      <c r="J602" s="5" t="s">
        <v>23</v>
      </c>
      <c r="K602" s="5">
        <v>1065600058</v>
      </c>
      <c r="L602" s="5">
        <v>3123009293</v>
      </c>
      <c r="M602" s="5" t="s">
        <v>24</v>
      </c>
    </row>
    <row r="603" spans="1:13" ht="15.75" x14ac:dyDescent="0.25">
      <c r="A603" s="3">
        <v>6971</v>
      </c>
      <c r="B603" s="3">
        <v>46242</v>
      </c>
      <c r="C603" s="3" t="s">
        <v>1265</v>
      </c>
      <c r="D603" s="3" t="s">
        <v>1266</v>
      </c>
      <c r="E603" s="4">
        <v>8556</v>
      </c>
      <c r="F603" s="3" t="s">
        <v>36</v>
      </c>
      <c r="G603" s="3" t="s">
        <v>27</v>
      </c>
      <c r="H603" s="3" t="str">
        <f>VLOOKUP(B603,'[1]Select territorios'!$C:$L,10,0)</f>
        <v>10.4733</v>
      </c>
      <c r="I603" s="3" t="str">
        <f>VLOOKUP(B603,'[1]Select territorios'!$C:$M,11,0)</f>
        <v>-73.2423</v>
      </c>
      <c r="J603" s="5" t="s">
        <v>23</v>
      </c>
      <c r="K603" s="5">
        <v>1065600058</v>
      </c>
      <c r="L603" s="5">
        <v>3123009293</v>
      </c>
      <c r="M603" s="5" t="s">
        <v>24</v>
      </c>
    </row>
    <row r="604" spans="1:13" ht="15.75" x14ac:dyDescent="0.25">
      <c r="A604" s="3">
        <v>6971</v>
      </c>
      <c r="B604" s="3">
        <v>45778</v>
      </c>
      <c r="C604" s="3" t="s">
        <v>1267</v>
      </c>
      <c r="D604" s="3" t="s">
        <v>1268</v>
      </c>
      <c r="E604" s="4">
        <v>8562</v>
      </c>
      <c r="F604" s="3" t="s">
        <v>213</v>
      </c>
      <c r="G604" s="3" t="s">
        <v>27</v>
      </c>
      <c r="H604" s="3" t="str">
        <f>VLOOKUP(B604,'[1]Select territorios'!$C:$L,10,0)</f>
        <v>8.294581</v>
      </c>
      <c r="I604" s="3" t="str">
        <f>VLOOKUP(B604,'[1]Select territorios'!$C:$M,11,0)</f>
        <v>-73.628577</v>
      </c>
      <c r="J604" s="5" t="s">
        <v>71</v>
      </c>
      <c r="K604" s="5">
        <v>1065818056</v>
      </c>
      <c r="L604" s="5">
        <v>3145467066</v>
      </c>
      <c r="M604" s="5" t="s">
        <v>72</v>
      </c>
    </row>
    <row r="605" spans="1:13" ht="15.75" x14ac:dyDescent="0.25">
      <c r="A605" s="3">
        <v>6971</v>
      </c>
      <c r="B605" s="3">
        <v>46183</v>
      </c>
      <c r="C605" s="3" t="s">
        <v>1269</v>
      </c>
      <c r="D605" s="3" t="s">
        <v>1270</v>
      </c>
      <c r="E605" s="4">
        <v>6996</v>
      </c>
      <c r="F605" s="3" t="s">
        <v>113</v>
      </c>
      <c r="G605" s="3" t="s">
        <v>27</v>
      </c>
      <c r="H605" s="3" t="str">
        <f>VLOOKUP(B605,'[1]Select territorios'!$C:$L,10,0)</f>
        <v>7.759135</v>
      </c>
      <c r="I605" s="3" t="str">
        <f>VLOOKUP(B605,'[1]Select territorios'!$C:$M,11,0)</f>
        <v>-73.3940033</v>
      </c>
      <c r="J605" s="5" t="s">
        <v>107</v>
      </c>
      <c r="K605" s="5">
        <v>1005281494</v>
      </c>
      <c r="L605" s="5">
        <v>3158541035</v>
      </c>
      <c r="M605" s="5" t="s">
        <v>108</v>
      </c>
    </row>
    <row r="606" spans="1:13" ht="15.75" x14ac:dyDescent="0.25">
      <c r="A606" s="3">
        <v>6971</v>
      </c>
      <c r="B606" s="3">
        <v>45424</v>
      </c>
      <c r="C606" s="3" t="s">
        <v>1271</v>
      </c>
      <c r="D606" s="3" t="s">
        <v>1272</v>
      </c>
      <c r="E606" s="4">
        <v>6972</v>
      </c>
      <c r="F606" s="3" t="s">
        <v>173</v>
      </c>
      <c r="G606" s="3" t="s">
        <v>27</v>
      </c>
      <c r="H606" s="3" t="str">
        <f>VLOOKUP(B606,'[1]Select territorios'!$C:$L,10,0)</f>
        <v>8.3099287</v>
      </c>
      <c r="I606" s="3" t="str">
        <f>VLOOKUP(B606,'[1]Select territorios'!$C:$M,11,0)</f>
        <v>-73.616239</v>
      </c>
      <c r="J606" s="5" t="s">
        <v>71</v>
      </c>
      <c r="K606" s="5">
        <v>1065818056</v>
      </c>
      <c r="L606" s="5">
        <v>3145467066</v>
      </c>
      <c r="M606" s="5" t="s">
        <v>72</v>
      </c>
    </row>
    <row r="607" spans="1:13" ht="15.75" x14ac:dyDescent="0.25">
      <c r="A607" s="3">
        <v>6971</v>
      </c>
      <c r="B607" s="3">
        <v>46216</v>
      </c>
      <c r="C607" s="3" t="s">
        <v>1273</v>
      </c>
      <c r="D607" s="3" t="s">
        <v>1274</v>
      </c>
      <c r="E607" s="4">
        <v>8553</v>
      </c>
      <c r="F607" s="3" t="s">
        <v>15</v>
      </c>
      <c r="G607" s="3" t="s">
        <v>27</v>
      </c>
      <c r="H607" s="3" t="str">
        <f>VLOOKUP(B607,'[1]Select territorios'!$C:$L,10,0)</f>
        <v>10.472638</v>
      </c>
      <c r="I607" s="3" t="str">
        <f>VLOOKUP(B607,'[1]Select territorios'!$C:$M,11,0)</f>
        <v>-73.276718</v>
      </c>
      <c r="J607" s="5" t="s">
        <v>17</v>
      </c>
      <c r="K607" s="5">
        <v>15173890</v>
      </c>
      <c r="L607" s="5">
        <v>3002039991</v>
      </c>
      <c r="M607" s="5" t="s">
        <v>18</v>
      </c>
    </row>
    <row r="608" spans="1:13" ht="15.75" x14ac:dyDescent="0.25">
      <c r="A608" s="3">
        <v>6971</v>
      </c>
      <c r="B608" s="3">
        <v>46262</v>
      </c>
      <c r="C608" s="3" t="s">
        <v>1275</v>
      </c>
      <c r="D608" s="3" t="s">
        <v>1276</v>
      </c>
      <c r="E608" s="4">
        <v>8554</v>
      </c>
      <c r="F608" s="3" t="s">
        <v>81</v>
      </c>
      <c r="G608" s="3" t="s">
        <v>27</v>
      </c>
      <c r="H608" s="3" t="str">
        <f>VLOOKUP(B608,'[1]Select territorios'!$C:$L,10,0)</f>
        <v>10.4385</v>
      </c>
      <c r="I608" s="3" t="str">
        <f>VLOOKUP(B608,'[1]Select territorios'!$C:$M,11,0)</f>
        <v>-73.2468</v>
      </c>
      <c r="J608" s="5" t="s">
        <v>40</v>
      </c>
      <c r="K608" s="5">
        <v>1003275622</v>
      </c>
      <c r="L608" s="5">
        <v>3218847746</v>
      </c>
      <c r="M608" s="5" t="s">
        <v>41</v>
      </c>
    </row>
    <row r="609" spans="1:13" ht="15.75" x14ac:dyDescent="0.25">
      <c r="A609" s="3">
        <v>6971</v>
      </c>
      <c r="B609" s="3">
        <v>46260</v>
      </c>
      <c r="C609" s="3" t="s">
        <v>1277</v>
      </c>
      <c r="D609" s="3" t="s">
        <v>1278</v>
      </c>
      <c r="E609" s="4">
        <v>9206</v>
      </c>
      <c r="F609" s="3" t="s">
        <v>33</v>
      </c>
      <c r="G609" s="3" t="s">
        <v>27</v>
      </c>
      <c r="H609" s="3" t="str">
        <f>VLOOKUP(B609,'[1]Select territorios'!$C:$L,10,0)</f>
        <v>10.45138729</v>
      </c>
      <c r="I609" s="3" t="str">
        <f>VLOOKUP(B609,'[1]Select territorios'!$C:$M,11,0)</f>
        <v>-73.2840165</v>
      </c>
      <c r="J609" s="5" t="s">
        <v>17</v>
      </c>
      <c r="K609" s="5">
        <v>15173890</v>
      </c>
      <c r="L609" s="5">
        <v>3002039991</v>
      </c>
      <c r="M609" s="5" t="s">
        <v>18</v>
      </c>
    </row>
    <row r="610" spans="1:13" ht="15.75" x14ac:dyDescent="0.25">
      <c r="A610" s="3">
        <v>6971</v>
      </c>
      <c r="B610" s="3">
        <v>46282</v>
      </c>
      <c r="C610" s="3" t="s">
        <v>1279</v>
      </c>
      <c r="D610" s="3" t="s">
        <v>1280</v>
      </c>
      <c r="E610" s="4">
        <v>8554</v>
      </c>
      <c r="F610" s="3" t="s">
        <v>81</v>
      </c>
      <c r="G610" s="3" t="s">
        <v>27</v>
      </c>
      <c r="H610" s="3" t="str">
        <f>VLOOKUP(B610,'[1]Select territorios'!$C:$L,10,0)</f>
        <v>10.4506</v>
      </c>
      <c r="I610" s="3" t="str">
        <f>VLOOKUP(B610,'[1]Select territorios'!$C:$M,11,0)</f>
        <v>-73.2512</v>
      </c>
      <c r="J610" s="5" t="s">
        <v>40</v>
      </c>
      <c r="K610" s="5">
        <v>1003275622</v>
      </c>
      <c r="L610" s="5">
        <v>3218847746</v>
      </c>
      <c r="M610" s="5" t="s">
        <v>41</v>
      </c>
    </row>
    <row r="611" spans="1:13" ht="15.75" x14ac:dyDescent="0.25">
      <c r="A611" s="3">
        <v>6971</v>
      </c>
      <c r="B611" s="3">
        <v>46280</v>
      </c>
      <c r="C611" s="3" t="s">
        <v>1281</v>
      </c>
      <c r="D611" s="3" t="s">
        <v>1282</v>
      </c>
      <c r="E611" s="4">
        <v>18936</v>
      </c>
      <c r="F611" s="3" t="s">
        <v>21</v>
      </c>
      <c r="G611" s="3" t="s">
        <v>27</v>
      </c>
      <c r="H611" s="3" t="str">
        <f>VLOOKUP(B611,'[1]Select territorios'!$C:$L,10,0)</f>
        <v>10.477712</v>
      </c>
      <c r="I611" s="3" t="str">
        <f>VLOOKUP(B611,'[1]Select territorios'!$C:$M,11,0)</f>
        <v>-73.250149</v>
      </c>
      <c r="J611" s="5" t="s">
        <v>23</v>
      </c>
      <c r="K611" s="5">
        <v>1065600058</v>
      </c>
      <c r="L611" s="5">
        <v>3123009293</v>
      </c>
      <c r="M611" s="5" t="s">
        <v>24</v>
      </c>
    </row>
    <row r="612" spans="1:13" ht="15.75" x14ac:dyDescent="0.25">
      <c r="A612" s="3">
        <v>6971</v>
      </c>
      <c r="B612" s="3">
        <v>45421</v>
      </c>
      <c r="C612" s="3" t="s">
        <v>1283</v>
      </c>
      <c r="D612" s="3" t="s">
        <v>1284</v>
      </c>
      <c r="E612" s="4">
        <v>6991</v>
      </c>
      <c r="F612" s="3" t="s">
        <v>70</v>
      </c>
      <c r="G612" s="3" t="s">
        <v>27</v>
      </c>
      <c r="H612" s="3" t="str">
        <f>VLOOKUP(B612,'[1]Select territorios'!$C:$L,10,0)</f>
        <v>8.688643151</v>
      </c>
      <c r="I612" s="3" t="str">
        <f>VLOOKUP(B612,'[1]Select territorios'!$C:$M,11,0)</f>
        <v>-73.66323779</v>
      </c>
      <c r="J612" s="5" t="s">
        <v>71</v>
      </c>
      <c r="K612" s="5">
        <v>1065818056</v>
      </c>
      <c r="L612" s="5">
        <v>3145467066</v>
      </c>
      <c r="M612" s="5" t="s">
        <v>72</v>
      </c>
    </row>
    <row r="613" spans="1:13" ht="15.75" x14ac:dyDescent="0.25">
      <c r="A613" s="3">
        <v>6971</v>
      </c>
      <c r="B613" s="3">
        <v>45387</v>
      </c>
      <c r="C613" s="3" t="s">
        <v>1285</v>
      </c>
      <c r="D613" s="3" t="s">
        <v>1286</v>
      </c>
      <c r="E613" s="4">
        <v>45386</v>
      </c>
      <c r="F613" s="3" t="s">
        <v>67</v>
      </c>
      <c r="G613" s="3" t="s">
        <v>22</v>
      </c>
      <c r="H613" s="3" t="str">
        <f>VLOOKUP(B613,'[1]Select territorios'!$C:$L,10,0)</f>
        <v>10.441214</v>
      </c>
      <c r="I613" s="3" t="str">
        <f>VLOOKUP(B613,'[1]Select territorios'!$C:$M,11,0)</f>
        <v>-73.255944</v>
      </c>
      <c r="J613" s="5" t="s">
        <v>40</v>
      </c>
      <c r="K613" s="5">
        <v>1003275622</v>
      </c>
      <c r="L613" s="5">
        <v>3218847746</v>
      </c>
      <c r="M613" s="5" t="s">
        <v>41</v>
      </c>
    </row>
    <row r="614" spans="1:13" ht="15.75" x14ac:dyDescent="0.25">
      <c r="A614" s="3">
        <v>6971</v>
      </c>
      <c r="B614" s="3">
        <v>46243</v>
      </c>
      <c r="C614" s="3" t="s">
        <v>1287</v>
      </c>
      <c r="D614" s="3" t="s">
        <v>1288</v>
      </c>
      <c r="E614" s="4">
        <v>43654</v>
      </c>
      <c r="F614" s="3" t="s">
        <v>976</v>
      </c>
      <c r="G614" s="3" t="s">
        <v>27</v>
      </c>
      <c r="H614" s="3" t="str">
        <f>VLOOKUP(B614,'[1]Select territorios'!$C:$L,10,0)</f>
        <v>10.477</v>
      </c>
      <c r="I614" s="3" t="str">
        <f>VLOOKUP(B614,'[1]Select territorios'!$C:$M,11,0)</f>
        <v>-73.2487</v>
      </c>
      <c r="J614" s="5" t="s">
        <v>23</v>
      </c>
      <c r="K614" s="5">
        <v>1065600058</v>
      </c>
      <c r="L614" s="5">
        <v>3123009293</v>
      </c>
      <c r="M614" s="5" t="s">
        <v>24</v>
      </c>
    </row>
    <row r="615" spans="1:13" ht="15.75" x14ac:dyDescent="0.25">
      <c r="A615" s="3">
        <v>6971</v>
      </c>
      <c r="B615" s="3">
        <v>46271</v>
      </c>
      <c r="C615" s="3" t="s">
        <v>1289</v>
      </c>
      <c r="D615" s="3" t="s">
        <v>1290</v>
      </c>
      <c r="E615" s="4">
        <v>6984</v>
      </c>
      <c r="F615" s="3" t="s">
        <v>75</v>
      </c>
      <c r="G615" s="3" t="s">
        <v>27</v>
      </c>
      <c r="H615" s="3" t="str">
        <f>VLOOKUP(B615,'[1]Select territorios'!$C:$L,10,0)</f>
        <v>8.622362</v>
      </c>
      <c r="I615" s="3" t="str">
        <f>VLOOKUP(B615,'[1]Select territorios'!$C:$M,11,0)</f>
        <v>-73.802885</v>
      </c>
      <c r="J615" s="5" t="s">
        <v>71</v>
      </c>
      <c r="K615" s="5">
        <v>1065818056</v>
      </c>
      <c r="L615" s="5">
        <v>3145467066</v>
      </c>
      <c r="M615" s="5" t="s">
        <v>72</v>
      </c>
    </row>
    <row r="616" spans="1:13" ht="15.75" x14ac:dyDescent="0.25">
      <c r="A616" s="3">
        <v>6971</v>
      </c>
      <c r="B616" s="3">
        <v>46329</v>
      </c>
      <c r="C616" s="3" t="s">
        <v>1291</v>
      </c>
      <c r="D616" s="3" t="s">
        <v>1292</v>
      </c>
      <c r="E616" s="4">
        <v>45388</v>
      </c>
      <c r="F616" s="3" t="s">
        <v>196</v>
      </c>
      <c r="G616" s="3" t="s">
        <v>27</v>
      </c>
      <c r="H616" s="3" t="str">
        <f>VLOOKUP(B616,'[1]Select territorios'!$C:$L,10,0)</f>
        <v>9.9637</v>
      </c>
      <c r="I616" s="3" t="str">
        <f>VLOOKUP(B616,'[1]Select territorios'!$C:$M,11,0)</f>
        <v>-73.8864</v>
      </c>
      <c r="J616" s="5" t="s">
        <v>48</v>
      </c>
      <c r="K616" s="5">
        <v>1064795379</v>
      </c>
      <c r="L616" s="5">
        <v>3104688587</v>
      </c>
      <c r="M616" s="5" t="s">
        <v>49</v>
      </c>
    </row>
    <row r="617" spans="1:13" ht="15.75" x14ac:dyDescent="0.25">
      <c r="A617" s="3">
        <v>6971</v>
      </c>
      <c r="B617" s="3">
        <v>45479</v>
      </c>
      <c r="C617" s="3" t="s">
        <v>1293</v>
      </c>
      <c r="D617" s="3" t="s">
        <v>1294</v>
      </c>
      <c r="E617" s="4">
        <v>8561</v>
      </c>
      <c r="F617" s="3" t="s">
        <v>168</v>
      </c>
      <c r="G617" s="3" t="s">
        <v>16</v>
      </c>
      <c r="H617" s="3" t="str">
        <f>VLOOKUP(B617,'[1]Select territorios'!$C:$L,10,0)</f>
        <v>8.310952</v>
      </c>
      <c r="I617" s="3" t="str">
        <f>VLOOKUP(B617,'[1]Select territorios'!$C:$M,11,0)</f>
        <v>-73.62046</v>
      </c>
      <c r="J617" s="5" t="s">
        <v>107</v>
      </c>
      <c r="K617" s="5">
        <v>1005281494</v>
      </c>
      <c r="L617" s="5">
        <v>3158541035</v>
      </c>
      <c r="M617" s="5" t="s">
        <v>108</v>
      </c>
    </row>
    <row r="618" spans="1:13" ht="15.75" x14ac:dyDescent="0.25">
      <c r="A618" s="3">
        <v>6971</v>
      </c>
      <c r="B618" s="3">
        <v>46333</v>
      </c>
      <c r="C618" s="3" t="s">
        <v>1295</v>
      </c>
      <c r="D618" s="3" t="s">
        <v>1296</v>
      </c>
      <c r="E618" s="4">
        <v>6974</v>
      </c>
      <c r="F618" s="3" t="s">
        <v>123</v>
      </c>
      <c r="G618" s="3" t="s">
        <v>27</v>
      </c>
      <c r="H618" s="3" t="str">
        <f>VLOOKUP(B618,'[1]Select territorios'!$C:$L,10,0)</f>
        <v>9.70962</v>
      </c>
      <c r="I618" s="3" t="str">
        <f>VLOOKUP(B618,'[1]Select territorios'!$C:$M,11,0)</f>
        <v>-73.28143</v>
      </c>
      <c r="J618" s="5" t="s">
        <v>58</v>
      </c>
      <c r="K618" s="5">
        <v>1193146338</v>
      </c>
      <c r="L618" s="5">
        <v>3202114923</v>
      </c>
      <c r="M618" s="5" t="s">
        <v>59</v>
      </c>
    </row>
    <row r="619" spans="1:13" ht="15.75" x14ac:dyDescent="0.25">
      <c r="A619" s="3">
        <v>6971</v>
      </c>
      <c r="B619" s="3">
        <v>17612</v>
      </c>
      <c r="C619" s="3" t="s">
        <v>1297</v>
      </c>
      <c r="D619" s="3" t="s">
        <v>1298</v>
      </c>
      <c r="E619" s="4">
        <v>45386</v>
      </c>
      <c r="F619" s="3" t="s">
        <v>67</v>
      </c>
      <c r="G619" s="3" t="s">
        <v>27</v>
      </c>
      <c r="H619" s="3" t="str">
        <f>VLOOKUP(B619,'[1]Select territorios'!$C:$L,10,0)</f>
        <v>10.245484</v>
      </c>
      <c r="I619" s="3" t="str">
        <f>VLOOKUP(B619,'[1]Select territorios'!$C:$M,11,0)</f>
        <v>-73.282166</v>
      </c>
      <c r="J619" s="5" t="s">
        <v>40</v>
      </c>
      <c r="K619" s="5">
        <v>1003275622</v>
      </c>
      <c r="L619" s="5">
        <v>3218847746</v>
      </c>
      <c r="M619" s="5" t="s">
        <v>41</v>
      </c>
    </row>
    <row r="620" spans="1:13" ht="15.75" x14ac:dyDescent="0.25">
      <c r="A620" s="3">
        <v>6971</v>
      </c>
      <c r="B620" s="3">
        <v>46197</v>
      </c>
      <c r="C620" s="3" t="s">
        <v>1299</v>
      </c>
      <c r="D620" s="3" t="s">
        <v>1300</v>
      </c>
      <c r="E620" s="4">
        <v>17176</v>
      </c>
      <c r="F620" s="3" t="s">
        <v>189</v>
      </c>
      <c r="G620" s="3" t="s">
        <v>16</v>
      </c>
      <c r="H620" s="3" t="str">
        <f>VLOOKUP(B620,'[1]Select territorios'!$C:$L,10,0)</f>
        <v>10.45722</v>
      </c>
      <c r="I620" s="3" t="str">
        <f>VLOOKUP(B620,'[1]Select territorios'!$C:$M,11,0)</f>
        <v>-73.23179</v>
      </c>
      <c r="J620" s="5" t="s">
        <v>40</v>
      </c>
      <c r="K620" s="5">
        <v>1003275622</v>
      </c>
      <c r="L620" s="5">
        <v>3218847746</v>
      </c>
      <c r="M620" s="5" t="s">
        <v>41</v>
      </c>
    </row>
    <row r="621" spans="1:13" ht="15.75" x14ac:dyDescent="0.25">
      <c r="A621" s="3">
        <v>6971</v>
      </c>
      <c r="B621" s="3">
        <v>46210</v>
      </c>
      <c r="C621" s="3" t="s">
        <v>1301</v>
      </c>
      <c r="D621" s="3" t="s">
        <v>1302</v>
      </c>
      <c r="E621" s="4">
        <v>17191</v>
      </c>
      <c r="F621" s="3" t="s">
        <v>186</v>
      </c>
      <c r="G621" s="3" t="s">
        <v>16</v>
      </c>
      <c r="H621" s="3" t="str">
        <f>VLOOKUP(B621,'[1]Select territorios'!$C:$L,10,0)</f>
        <v>10.455994</v>
      </c>
      <c r="I621" s="3" t="str">
        <f>VLOOKUP(B621,'[1]Select territorios'!$C:$M,11,0)</f>
        <v>-73.275593</v>
      </c>
      <c r="J621" s="5" t="s">
        <v>17</v>
      </c>
      <c r="K621" s="5">
        <v>15173890</v>
      </c>
      <c r="L621" s="5">
        <v>3002039991</v>
      </c>
      <c r="M621" s="5" t="s">
        <v>18</v>
      </c>
    </row>
    <row r="622" spans="1:13" ht="15.75" x14ac:dyDescent="0.25">
      <c r="A622" s="3">
        <v>6971</v>
      </c>
      <c r="B622" s="3">
        <v>46283</v>
      </c>
      <c r="C622" s="3" t="s">
        <v>1303</v>
      </c>
      <c r="D622" s="3" t="s">
        <v>1304</v>
      </c>
      <c r="E622" s="4">
        <v>6982</v>
      </c>
      <c r="F622" s="3" t="s">
        <v>118</v>
      </c>
      <c r="G622" s="3" t="s">
        <v>27</v>
      </c>
      <c r="H622" s="3" t="str">
        <f>VLOOKUP(B622,'[1]Select territorios'!$C:$L,10,0)</f>
        <v>8.325401</v>
      </c>
      <c r="I622" s="3" t="str">
        <f>VLOOKUP(B622,'[1]Select territorios'!$C:$M,11,0)</f>
        <v>-73.74382</v>
      </c>
      <c r="J622" s="5" t="s">
        <v>107</v>
      </c>
      <c r="K622" s="5">
        <v>1005281494</v>
      </c>
      <c r="L622" s="5">
        <v>3158541035</v>
      </c>
      <c r="M622" s="5" t="s">
        <v>108</v>
      </c>
    </row>
    <row r="623" spans="1:13" ht="15.75" x14ac:dyDescent="0.25">
      <c r="A623" s="3">
        <v>6971</v>
      </c>
      <c r="B623" s="3">
        <v>46353</v>
      </c>
      <c r="C623" s="3" t="s">
        <v>1305</v>
      </c>
      <c r="D623" s="3" t="s">
        <v>1306</v>
      </c>
      <c r="E623" s="4">
        <v>45386</v>
      </c>
      <c r="F623" s="3" t="s">
        <v>67</v>
      </c>
      <c r="G623" s="3" t="s">
        <v>27</v>
      </c>
      <c r="H623" s="3" t="str">
        <f>VLOOKUP(B623,'[1]Select territorios'!$C:$L,10,0)</f>
        <v>10.42952</v>
      </c>
      <c r="I623" s="3" t="str">
        <f>VLOOKUP(B623,'[1]Select territorios'!$C:$M,11,0)</f>
        <v>-73.25652</v>
      </c>
      <c r="J623" s="5" t="s">
        <v>40</v>
      </c>
      <c r="K623" s="5">
        <v>1003275622</v>
      </c>
      <c r="L623" s="5">
        <v>3218847746</v>
      </c>
      <c r="M623" s="5" t="s">
        <v>41</v>
      </c>
    </row>
    <row r="624" spans="1:13" ht="15.75" x14ac:dyDescent="0.25">
      <c r="A624" s="3">
        <v>6971</v>
      </c>
      <c r="B624" s="3">
        <v>46356</v>
      </c>
      <c r="C624" s="3" t="s">
        <v>1307</v>
      </c>
      <c r="D624" s="3" t="s">
        <v>1308</v>
      </c>
      <c r="E624" s="4">
        <v>18935</v>
      </c>
      <c r="F624" s="3" t="s">
        <v>44</v>
      </c>
      <c r="G624" s="3" t="s">
        <v>27</v>
      </c>
      <c r="H624" s="3" t="str">
        <f>VLOOKUP(B624,'[1]Select territorios'!$C:$L,10,0)</f>
        <v>10.459193</v>
      </c>
      <c r="I624" s="3" t="str">
        <f>VLOOKUP(B624,'[1]Select territorios'!$C:$M,11,0)</f>
        <v>-73.249609</v>
      </c>
      <c r="J624" s="5" t="s">
        <v>40</v>
      </c>
      <c r="K624" s="5">
        <v>1003275622</v>
      </c>
      <c r="L624" s="5">
        <v>3218847746</v>
      </c>
      <c r="M624" s="5" t="s">
        <v>41</v>
      </c>
    </row>
    <row r="625" spans="1:13" ht="15.75" x14ac:dyDescent="0.25">
      <c r="A625" s="3">
        <v>6971</v>
      </c>
      <c r="B625" s="3">
        <v>46376</v>
      </c>
      <c r="C625" s="3" t="s">
        <v>1309</v>
      </c>
      <c r="D625" s="3" t="s">
        <v>1310</v>
      </c>
      <c r="E625" s="4">
        <v>6988</v>
      </c>
      <c r="F625" s="3" t="s">
        <v>227</v>
      </c>
      <c r="G625" s="3" t="s">
        <v>27</v>
      </c>
      <c r="H625" s="3" t="str">
        <f>VLOOKUP(B625,'[1]Select territorios'!$C:$L,10,0)</f>
        <v>10.38478</v>
      </c>
      <c r="I625" s="3" t="str">
        <f>VLOOKUP(B625,'[1]Select territorios'!$C:$M,11,0)</f>
        <v>-73.176073</v>
      </c>
      <c r="J625" s="5" t="s">
        <v>23</v>
      </c>
      <c r="K625" s="5">
        <v>1065600058</v>
      </c>
      <c r="L625" s="5">
        <v>3123009293</v>
      </c>
      <c r="M625" s="5" t="s">
        <v>24</v>
      </c>
    </row>
    <row r="626" spans="1:13" ht="15.75" x14ac:dyDescent="0.25">
      <c r="A626" s="3">
        <v>6971</v>
      </c>
      <c r="B626" s="3">
        <v>45389</v>
      </c>
      <c r="C626" s="3" t="s">
        <v>1311</v>
      </c>
      <c r="D626" s="3" t="s">
        <v>1312</v>
      </c>
      <c r="E626" s="4">
        <v>45388</v>
      </c>
      <c r="F626" s="3" t="s">
        <v>196</v>
      </c>
      <c r="G626" s="3" t="s">
        <v>22</v>
      </c>
      <c r="H626" s="3" t="str">
        <f>VLOOKUP(B626,'[1]Select territorios'!$C:$L,10,0)</f>
        <v>9.9719</v>
      </c>
      <c r="I626" s="3" t="str">
        <f>VLOOKUP(B626,'[1]Select territorios'!$C:$M,11,0)</f>
        <v>-73.8882</v>
      </c>
      <c r="J626" s="5" t="s">
        <v>48</v>
      </c>
      <c r="K626" s="5">
        <v>1064795379</v>
      </c>
      <c r="L626" s="5">
        <v>3104688587</v>
      </c>
      <c r="M626" s="5" t="s">
        <v>49</v>
      </c>
    </row>
    <row r="627" spans="1:13" ht="15.75" x14ac:dyDescent="0.25">
      <c r="A627" s="3">
        <v>6971</v>
      </c>
      <c r="B627" s="3">
        <v>46209</v>
      </c>
      <c r="C627" s="3" t="s">
        <v>1313</v>
      </c>
      <c r="D627" s="3" t="s">
        <v>1314</v>
      </c>
      <c r="E627" s="4">
        <v>8553</v>
      </c>
      <c r="F627" s="3" t="s">
        <v>15</v>
      </c>
      <c r="G627" s="3" t="s">
        <v>16</v>
      </c>
      <c r="H627" s="3" t="str">
        <f>VLOOKUP(B627,'[1]Select territorios'!$C:$L,10,0)</f>
        <v>10.477359</v>
      </c>
      <c r="I627" s="3" t="str">
        <f>VLOOKUP(B627,'[1]Select territorios'!$C:$M,11,0)</f>
        <v>-73.28194</v>
      </c>
      <c r="J627" s="5" t="s">
        <v>17</v>
      </c>
      <c r="K627" s="5">
        <v>15173890</v>
      </c>
      <c r="L627" s="5">
        <v>3002039991</v>
      </c>
      <c r="M627" s="5" t="s">
        <v>18</v>
      </c>
    </row>
    <row r="628" spans="1:13" ht="15.75" x14ac:dyDescent="0.25">
      <c r="A628" s="3">
        <v>6971</v>
      </c>
      <c r="B628" s="3">
        <v>46322</v>
      </c>
      <c r="C628" s="3" t="s">
        <v>1315</v>
      </c>
      <c r="D628" s="3" t="s">
        <v>1316</v>
      </c>
      <c r="E628" s="4">
        <v>8558</v>
      </c>
      <c r="F628" s="3" t="s">
        <v>62</v>
      </c>
      <c r="G628" s="3" t="s">
        <v>27</v>
      </c>
      <c r="H628" s="3" t="str">
        <f>VLOOKUP(B628,'[1]Select territorios'!$C:$L,10,0)</f>
        <v>10.465647</v>
      </c>
      <c r="I628" s="3" t="str">
        <f>VLOOKUP(B628,'[1]Select territorios'!$C:$M,11,0)</f>
        <v>-73.264164</v>
      </c>
      <c r="J628" s="5" t="s">
        <v>23</v>
      </c>
      <c r="K628" s="5">
        <v>1065600058</v>
      </c>
      <c r="L628" s="5">
        <v>3123009293</v>
      </c>
      <c r="M628" s="5" t="s">
        <v>24</v>
      </c>
    </row>
    <row r="629" spans="1:13" ht="15.75" x14ac:dyDescent="0.25">
      <c r="A629" s="3">
        <v>6971</v>
      </c>
      <c r="B629" s="3">
        <v>46298</v>
      </c>
      <c r="C629" s="3" t="s">
        <v>1317</v>
      </c>
      <c r="D629" s="3" t="s">
        <v>1318</v>
      </c>
      <c r="E629" s="4">
        <v>8560</v>
      </c>
      <c r="F629" s="3" t="s">
        <v>161</v>
      </c>
      <c r="G629" s="3" t="s">
        <v>27</v>
      </c>
      <c r="H629" s="3" t="str">
        <f>VLOOKUP(B629,'[1]Select territorios'!$C:$L,10,0)</f>
        <v>8.3134994</v>
      </c>
      <c r="I629" s="3" t="str">
        <f>VLOOKUP(B629,'[1]Select territorios'!$C:$M,11,0)</f>
        <v>-73.5967085</v>
      </c>
      <c r="J629" s="5" t="s">
        <v>107</v>
      </c>
      <c r="K629" s="5">
        <v>1005281494</v>
      </c>
      <c r="L629" s="5">
        <v>3158541035</v>
      </c>
      <c r="M629" s="5" t="s">
        <v>108</v>
      </c>
    </row>
    <row r="630" spans="1:13" ht="15.75" x14ac:dyDescent="0.25">
      <c r="A630" s="3">
        <v>6971</v>
      </c>
      <c r="B630" s="3">
        <v>46372</v>
      </c>
      <c r="C630" s="3" t="s">
        <v>1319</v>
      </c>
      <c r="D630" s="3" t="s">
        <v>1320</v>
      </c>
      <c r="E630" s="4">
        <v>45386</v>
      </c>
      <c r="F630" s="3" t="s">
        <v>67</v>
      </c>
      <c r="G630" s="3" t="s">
        <v>27</v>
      </c>
      <c r="H630" s="3" t="str">
        <f>VLOOKUP(B630,'[1]Select territorios'!$C:$L,10,0)</f>
        <v>10.184305</v>
      </c>
      <c r="I630" s="3" t="str">
        <f>VLOOKUP(B630,'[1]Select territorios'!$C:$M,11,0)</f>
        <v>-73.585666</v>
      </c>
      <c r="J630" s="5" t="s">
        <v>40</v>
      </c>
      <c r="K630" s="5">
        <v>1003275622</v>
      </c>
      <c r="L630" s="5">
        <v>3218847746</v>
      </c>
      <c r="M630" s="5" t="s">
        <v>41</v>
      </c>
    </row>
    <row r="631" spans="1:13" ht="15.75" x14ac:dyDescent="0.25">
      <c r="A631" s="3">
        <v>6971</v>
      </c>
      <c r="B631" s="3">
        <v>46319</v>
      </c>
      <c r="C631" s="3" t="s">
        <v>1321</v>
      </c>
      <c r="D631" s="3" t="s">
        <v>1322</v>
      </c>
      <c r="E631" s="4">
        <v>6997</v>
      </c>
      <c r="F631" s="3" t="s">
        <v>88</v>
      </c>
      <c r="G631" s="3" t="s">
        <v>27</v>
      </c>
      <c r="H631" s="3" t="str">
        <f>VLOOKUP(B631,'[1]Select territorios'!$C:$L,10,0)</f>
        <v>10.3354</v>
      </c>
      <c r="I631" s="3" t="str">
        <f>VLOOKUP(B631,'[1]Select territorios'!$C:$M,11,0)</f>
        <v>-73.1755</v>
      </c>
      <c r="J631" s="5" t="s">
        <v>17</v>
      </c>
      <c r="K631" s="5">
        <v>15173890</v>
      </c>
      <c r="L631" s="5">
        <v>3002039991</v>
      </c>
      <c r="M631" s="5" t="s">
        <v>18</v>
      </c>
    </row>
    <row r="632" spans="1:13" ht="15.75" x14ac:dyDescent="0.25">
      <c r="A632" s="3">
        <v>6971</v>
      </c>
      <c r="B632" s="3">
        <v>46281</v>
      </c>
      <c r="C632" s="3" t="s">
        <v>1323</v>
      </c>
      <c r="D632" s="3" t="s">
        <v>1324</v>
      </c>
      <c r="E632" s="4">
        <v>8562</v>
      </c>
      <c r="F632" s="3" t="s">
        <v>213</v>
      </c>
      <c r="G632" s="3" t="s">
        <v>27</v>
      </c>
      <c r="H632" s="3" t="str">
        <f>VLOOKUP(B632,'[1]Select territorios'!$C:$L,10,0)</f>
        <v>8.292954</v>
      </c>
      <c r="I632" s="3" t="str">
        <f>VLOOKUP(B632,'[1]Select territorios'!$C:$M,11,0)</f>
        <v>-73.619121</v>
      </c>
      <c r="J632" s="5" t="s">
        <v>71</v>
      </c>
      <c r="K632" s="5">
        <v>1065818056</v>
      </c>
      <c r="L632" s="5">
        <v>3145467066</v>
      </c>
      <c r="M632" s="5" t="s">
        <v>72</v>
      </c>
    </row>
    <row r="633" spans="1:13" ht="15.75" x14ac:dyDescent="0.25">
      <c r="A633" s="3">
        <v>6971</v>
      </c>
      <c r="B633" s="3">
        <v>45371</v>
      </c>
      <c r="C633" s="3" t="s">
        <v>1325</v>
      </c>
      <c r="D633" s="3" t="s">
        <v>1326</v>
      </c>
      <c r="E633" s="4">
        <v>8562</v>
      </c>
      <c r="F633" s="3" t="s">
        <v>213</v>
      </c>
      <c r="G633" s="3" t="s">
        <v>16</v>
      </c>
      <c r="H633" s="3" t="str">
        <f>VLOOKUP(B633,'[1]Select territorios'!$C:$L,10,0)</f>
        <v>8.305782</v>
      </c>
      <c r="I633" s="3" t="str">
        <f>VLOOKUP(B633,'[1]Select territorios'!$C:$M,11,0)</f>
        <v>-73.625536</v>
      </c>
      <c r="J633" s="5" t="s">
        <v>71</v>
      </c>
      <c r="K633" s="5">
        <v>1065818056</v>
      </c>
      <c r="L633" s="5">
        <v>3145467066</v>
      </c>
      <c r="M633" s="5" t="s">
        <v>72</v>
      </c>
    </row>
    <row r="634" spans="1:13" ht="15.75" x14ac:dyDescent="0.25">
      <c r="A634" s="3">
        <v>6971</v>
      </c>
      <c r="B634" s="3">
        <v>45447</v>
      </c>
      <c r="C634" s="3" t="s">
        <v>1327</v>
      </c>
      <c r="D634" s="3" t="s">
        <v>1328</v>
      </c>
      <c r="E634" s="4">
        <v>6998</v>
      </c>
      <c r="F634" s="3" t="s">
        <v>106</v>
      </c>
      <c r="G634" s="3" t="s">
        <v>16</v>
      </c>
      <c r="H634" s="3" t="str">
        <f>VLOOKUP(B634,'[1]Select territorios'!$C:$L,10,0)</f>
        <v>8.0009</v>
      </c>
      <c r="I634" s="3" t="str">
        <f>VLOOKUP(B634,'[1]Select territorios'!$C:$M,11,0)</f>
        <v>-73.5125</v>
      </c>
      <c r="J634" s="5" t="s">
        <v>107</v>
      </c>
      <c r="K634" s="5">
        <v>1005281494</v>
      </c>
      <c r="L634" s="5">
        <v>3158541035</v>
      </c>
      <c r="M634" s="5" t="s">
        <v>108</v>
      </c>
    </row>
    <row r="635" spans="1:13" ht="15.75" x14ac:dyDescent="0.25">
      <c r="A635" s="3">
        <v>6971</v>
      </c>
      <c r="B635" s="3">
        <v>46689</v>
      </c>
      <c r="C635" s="3" t="s">
        <v>1329</v>
      </c>
      <c r="D635" s="3" t="s">
        <v>1330</v>
      </c>
      <c r="E635" s="4">
        <v>6980</v>
      </c>
      <c r="F635" s="3" t="s">
        <v>384</v>
      </c>
      <c r="G635" s="3" t="s">
        <v>27</v>
      </c>
      <c r="H635" s="3" t="str">
        <f>VLOOKUP(B635,'[1]Select territorios'!$C:$L,10,0)</f>
        <v>10.149470</v>
      </c>
      <c r="I635" s="3" t="str">
        <f>VLOOKUP(B635,'[1]Select territorios'!$C:$M,11,0)</f>
        <v>-73.963080</v>
      </c>
      <c r="J635" s="5" t="s">
        <v>48</v>
      </c>
      <c r="K635" s="5">
        <v>1064795379</v>
      </c>
      <c r="L635" s="5">
        <v>3104688587</v>
      </c>
      <c r="M635" s="5" t="s">
        <v>49</v>
      </c>
    </row>
    <row r="636" spans="1:13" ht="15.75" x14ac:dyDescent="0.25">
      <c r="A636" s="3">
        <v>6971</v>
      </c>
      <c r="B636" s="3">
        <v>46269</v>
      </c>
      <c r="C636" s="3" t="s">
        <v>1331</v>
      </c>
      <c r="D636" s="3" t="s">
        <v>1332</v>
      </c>
      <c r="E636" s="4">
        <v>8562</v>
      </c>
      <c r="F636" s="3" t="s">
        <v>213</v>
      </c>
      <c r="G636" s="3" t="s">
        <v>27</v>
      </c>
      <c r="H636" s="3" t="str">
        <f>VLOOKUP(B636,'[1]Select territorios'!$C:$L,10,0)</f>
        <v>8.297505</v>
      </c>
      <c r="I636" s="3" t="str">
        <f>VLOOKUP(B636,'[1]Select territorios'!$C:$M,11,0)</f>
        <v>-73.624972</v>
      </c>
      <c r="J636" s="5" t="s">
        <v>71</v>
      </c>
      <c r="K636" s="5">
        <v>1065818056</v>
      </c>
      <c r="L636" s="5">
        <v>3145467066</v>
      </c>
      <c r="M636" s="5" t="s">
        <v>72</v>
      </c>
    </row>
    <row r="637" spans="1:13" ht="15.75" x14ac:dyDescent="0.25">
      <c r="A637" s="3">
        <v>6971</v>
      </c>
      <c r="B637" s="3">
        <v>45326</v>
      </c>
      <c r="C637" s="3" t="s">
        <v>1333</v>
      </c>
      <c r="D637" s="3" t="s">
        <v>1334</v>
      </c>
      <c r="E637" s="4">
        <v>6996</v>
      </c>
      <c r="F637" s="3" t="s">
        <v>113</v>
      </c>
      <c r="G637" s="3" t="s">
        <v>16</v>
      </c>
      <c r="H637" s="3" t="str">
        <f>VLOOKUP(B637,'[1]Select territorios'!$C:$L,10,0)</f>
        <v>7.76419</v>
      </c>
      <c r="I637" s="3" t="str">
        <f>VLOOKUP(B637,'[1]Select territorios'!$C:$M,11,0)</f>
        <v>-73.391</v>
      </c>
      <c r="J637" s="5" t="s">
        <v>107</v>
      </c>
      <c r="K637" s="5">
        <v>1005281494</v>
      </c>
      <c r="L637" s="5">
        <v>3158541035</v>
      </c>
      <c r="M637" s="5" t="s">
        <v>108</v>
      </c>
    </row>
    <row r="638" spans="1:13" ht="15.75" x14ac:dyDescent="0.25">
      <c r="A638" s="3">
        <v>6971</v>
      </c>
      <c r="B638" s="3">
        <v>45363</v>
      </c>
      <c r="C638" s="3" t="s">
        <v>1335</v>
      </c>
      <c r="D638" s="3" t="s">
        <v>1336</v>
      </c>
      <c r="E638" s="4">
        <v>8562</v>
      </c>
      <c r="F638" s="3" t="s">
        <v>213</v>
      </c>
      <c r="G638" s="3" t="s">
        <v>16</v>
      </c>
      <c r="H638" s="3" t="str">
        <f>VLOOKUP(B638,'[1]Select territorios'!$C:$L,10,0)</f>
        <v>8.305722</v>
      </c>
      <c r="I638" s="3" t="str">
        <f>VLOOKUP(B638,'[1]Select territorios'!$C:$M,11,0)</f>
        <v>-73.630923</v>
      </c>
      <c r="J638" s="5" t="s">
        <v>71</v>
      </c>
      <c r="K638" s="5">
        <v>1065818056</v>
      </c>
      <c r="L638" s="5">
        <v>3145467066</v>
      </c>
      <c r="M638" s="5" t="s">
        <v>72</v>
      </c>
    </row>
    <row r="639" spans="1:13" ht="15.75" x14ac:dyDescent="0.25">
      <c r="A639" s="3">
        <v>6971</v>
      </c>
      <c r="B639" s="3">
        <v>46685</v>
      </c>
      <c r="C639" s="3" t="s">
        <v>1337</v>
      </c>
      <c r="D639" s="3" t="s">
        <v>1338</v>
      </c>
      <c r="E639" s="4">
        <v>6981</v>
      </c>
      <c r="F639" s="3" t="s">
        <v>47</v>
      </c>
      <c r="G639" s="3" t="s">
        <v>27</v>
      </c>
      <c r="H639" s="3" t="str">
        <f>VLOOKUP(B639,'[1]Select territorios'!$C:$L,10,0)</f>
        <v>9.827800</v>
      </c>
      <c r="I639" s="3" t="str">
        <f>VLOOKUP(B639,'[1]Select territorios'!$C:$M,11,0)</f>
        <v>-73.650300</v>
      </c>
      <c r="J639" s="5" t="s">
        <v>48</v>
      </c>
      <c r="K639" s="5">
        <v>1064795379</v>
      </c>
      <c r="L639" s="5">
        <v>3104688587</v>
      </c>
      <c r="M639" s="5" t="s">
        <v>49</v>
      </c>
    </row>
    <row r="640" spans="1:13" ht="15.75" x14ac:dyDescent="0.25">
      <c r="A640" s="3">
        <v>6971</v>
      </c>
      <c r="B640" s="3">
        <v>45416</v>
      </c>
      <c r="C640" s="3" t="s">
        <v>1339</v>
      </c>
      <c r="D640" s="3" t="s">
        <v>1340</v>
      </c>
      <c r="E640" s="4">
        <v>8561</v>
      </c>
      <c r="F640" s="3" t="s">
        <v>168</v>
      </c>
      <c r="G640" s="3" t="s">
        <v>16</v>
      </c>
      <c r="H640" s="3" t="str">
        <f>VLOOKUP(B640,'[1]Select territorios'!$C:$L,10,0)</f>
        <v>8.298402</v>
      </c>
      <c r="I640" s="3" t="str">
        <f>VLOOKUP(B640,'[1]Select territorios'!$C:$M,11,0)</f>
        <v>-73.621268</v>
      </c>
      <c r="J640" s="5" t="s">
        <v>107</v>
      </c>
      <c r="K640" s="5">
        <v>1005281494</v>
      </c>
      <c r="L640" s="5">
        <v>3158541035</v>
      </c>
      <c r="M640" s="5" t="s">
        <v>108</v>
      </c>
    </row>
    <row r="641" spans="1:13" ht="15.75" x14ac:dyDescent="0.25">
      <c r="A641" s="3">
        <v>6971</v>
      </c>
      <c r="B641" s="3">
        <v>45369</v>
      </c>
      <c r="C641" s="3" t="s">
        <v>1341</v>
      </c>
      <c r="D641" s="3" t="s">
        <v>1342</v>
      </c>
      <c r="E641" s="4">
        <v>6972</v>
      </c>
      <c r="F641" s="3" t="s">
        <v>173</v>
      </c>
      <c r="G641" s="3" t="s">
        <v>16</v>
      </c>
      <c r="H641" s="3" t="str">
        <f>VLOOKUP(B641,'[1]Select territorios'!$C:$L,10,0)</f>
        <v>8.31231643</v>
      </c>
      <c r="I641" s="3" t="str">
        <f>VLOOKUP(B641,'[1]Select territorios'!$C:$M,11,0)</f>
        <v>-73.61726865</v>
      </c>
      <c r="J641" s="5" t="s">
        <v>71</v>
      </c>
      <c r="K641" s="5">
        <v>1065818056</v>
      </c>
      <c r="L641" s="5">
        <v>3145467066</v>
      </c>
      <c r="M641" s="5" t="s">
        <v>72</v>
      </c>
    </row>
    <row r="642" spans="1:13" ht="15.75" x14ac:dyDescent="0.25">
      <c r="A642" s="3">
        <v>6971</v>
      </c>
      <c r="B642" s="3">
        <v>46175</v>
      </c>
      <c r="C642" s="3" t="s">
        <v>1343</v>
      </c>
      <c r="D642" s="3" t="s">
        <v>1344</v>
      </c>
      <c r="E642" s="4">
        <v>6996</v>
      </c>
      <c r="F642" s="3" t="s">
        <v>113</v>
      </c>
      <c r="G642" s="3" t="s">
        <v>16</v>
      </c>
      <c r="H642" s="3" t="str">
        <f>VLOOKUP(B642,'[1]Select territorios'!$C:$L,10,0)</f>
        <v>7.76156</v>
      </c>
      <c r="I642" s="3" t="str">
        <f>VLOOKUP(B642,'[1]Select territorios'!$C:$M,11,0)</f>
        <v>-73.39234</v>
      </c>
      <c r="J642" s="5" t="s">
        <v>107</v>
      </c>
      <c r="K642" s="5">
        <v>1005281494</v>
      </c>
      <c r="L642" s="5">
        <v>3158541035</v>
      </c>
      <c r="M642" s="5" t="s">
        <v>108</v>
      </c>
    </row>
    <row r="643" spans="1:13" ht="15.75" x14ac:dyDescent="0.25">
      <c r="A643" s="3">
        <v>6971</v>
      </c>
      <c r="B643" s="3">
        <v>46789</v>
      </c>
      <c r="C643" s="3" t="s">
        <v>1345</v>
      </c>
      <c r="D643" s="3" t="s">
        <v>1346</v>
      </c>
      <c r="E643" s="4">
        <v>17176</v>
      </c>
      <c r="F643" s="3" t="s">
        <v>189</v>
      </c>
      <c r="G643" s="3" t="s">
        <v>27</v>
      </c>
      <c r="H643" s="3" t="str">
        <f>VLOOKUP(B643,'[1]Select territorios'!$C:$L,10,0)</f>
        <v>10.464390</v>
      </c>
      <c r="I643" s="3" t="str">
        <f>VLOOKUP(B643,'[1]Select territorios'!$C:$M,11,0)</f>
        <v>-73.241580</v>
      </c>
      <c r="J643" s="5" t="s">
        <v>40</v>
      </c>
      <c r="K643" s="5">
        <v>1003275622</v>
      </c>
      <c r="L643" s="5">
        <v>3218847746</v>
      </c>
      <c r="M643" s="5" t="s">
        <v>41</v>
      </c>
    </row>
    <row r="644" spans="1:13" ht="15.75" x14ac:dyDescent="0.25">
      <c r="A644" s="3">
        <v>6971</v>
      </c>
      <c r="B644" s="3">
        <v>46901</v>
      </c>
      <c r="C644" s="3" t="s">
        <v>1347</v>
      </c>
      <c r="D644" s="3" t="s">
        <v>1348</v>
      </c>
      <c r="E644" s="4">
        <v>9206</v>
      </c>
      <c r="F644" s="3" t="s">
        <v>33</v>
      </c>
      <c r="G644" s="3" t="s">
        <v>631</v>
      </c>
      <c r="H644" s="3" t="str">
        <f>VLOOKUP(B644,'[1]Select territorios'!$C:$L,10,0)</f>
        <v>10.453900</v>
      </c>
      <c r="I644" s="3" t="str">
        <f>VLOOKUP(B644,'[1]Select territorios'!$C:$M,11,0)</f>
        <v>-73.263400</v>
      </c>
      <c r="J644" s="5" t="s">
        <v>17</v>
      </c>
      <c r="K644" s="5">
        <v>15173890</v>
      </c>
      <c r="L644" s="5">
        <v>3002039991</v>
      </c>
      <c r="M644" s="5" t="s">
        <v>18</v>
      </c>
    </row>
    <row r="645" spans="1:13" ht="15.75" x14ac:dyDescent="0.25">
      <c r="A645" s="3">
        <v>6971</v>
      </c>
      <c r="B645" s="3">
        <v>46897</v>
      </c>
      <c r="C645" s="3" t="s">
        <v>1349</v>
      </c>
      <c r="D645" s="3" t="s">
        <v>1350</v>
      </c>
      <c r="E645" s="4">
        <v>18935</v>
      </c>
      <c r="F645" s="3" t="s">
        <v>44</v>
      </c>
      <c r="G645" s="3" t="s">
        <v>27</v>
      </c>
      <c r="H645" s="3" t="str">
        <f>VLOOKUP(B645,'[1]Select territorios'!$C:$L,10,0)</f>
        <v>10.457390</v>
      </c>
      <c r="I645" s="3" t="str">
        <f>VLOOKUP(B645,'[1]Select territorios'!$C:$M,11,0)</f>
        <v>-73.250550</v>
      </c>
      <c r="J645" s="5" t="s">
        <v>40</v>
      </c>
      <c r="K645" s="5">
        <v>1003275622</v>
      </c>
      <c r="L645" s="5">
        <v>3218847746</v>
      </c>
      <c r="M645" s="5" t="s">
        <v>41</v>
      </c>
    </row>
    <row r="646" spans="1:13" ht="15.75" x14ac:dyDescent="0.25">
      <c r="A646" s="3">
        <v>6971</v>
      </c>
      <c r="B646" s="3">
        <v>46805</v>
      </c>
      <c r="C646" s="3" t="s">
        <v>1351</v>
      </c>
      <c r="D646" s="3" t="s">
        <v>1352</v>
      </c>
      <c r="E646" s="4">
        <v>8556</v>
      </c>
      <c r="F646" s="3" t="s">
        <v>36</v>
      </c>
      <c r="G646" s="3" t="s">
        <v>16</v>
      </c>
      <c r="H646" s="3" t="str">
        <f>VLOOKUP(B646,'[1]Select territorios'!$C:$L,10,0)</f>
        <v>10.473900</v>
      </c>
      <c r="I646" s="3" t="str">
        <f>VLOOKUP(B646,'[1]Select territorios'!$C:$M,11,0)</f>
        <v>-73.243800</v>
      </c>
      <c r="J646" s="5" t="s">
        <v>23</v>
      </c>
      <c r="K646" s="5">
        <v>1065600058</v>
      </c>
      <c r="L646" s="5">
        <v>3123009293</v>
      </c>
      <c r="M646" s="5" t="s">
        <v>24</v>
      </c>
    </row>
    <row r="647" spans="1:13" ht="15.75" x14ac:dyDescent="0.25">
      <c r="A647" s="3">
        <v>6971</v>
      </c>
      <c r="B647" s="3">
        <v>46920</v>
      </c>
      <c r="C647" s="3" t="s">
        <v>1353</v>
      </c>
      <c r="D647" s="3" t="s">
        <v>1354</v>
      </c>
      <c r="E647" s="4">
        <v>45388</v>
      </c>
      <c r="F647" s="3" t="s">
        <v>196</v>
      </c>
      <c r="G647" s="3" t="s">
        <v>27</v>
      </c>
      <c r="H647" s="3" t="str">
        <f>VLOOKUP(B647,'[1]Select territorios'!$C:$L,10,0)</f>
        <v>9.980210</v>
      </c>
      <c r="I647" s="3" t="str">
        <f>VLOOKUP(B647,'[1]Select territorios'!$C:$M,11,0)</f>
        <v>-73.891815</v>
      </c>
      <c r="J647" s="5" t="s">
        <v>48</v>
      </c>
      <c r="K647" s="5">
        <v>1064795379</v>
      </c>
      <c r="L647" s="5">
        <v>3104688587</v>
      </c>
      <c r="M647" s="5" t="s">
        <v>49</v>
      </c>
    </row>
    <row r="648" spans="1:13" ht="15.75" x14ac:dyDescent="0.25">
      <c r="A648" s="3">
        <v>6971</v>
      </c>
      <c r="B648" s="3">
        <v>46964</v>
      </c>
      <c r="C648" s="3" t="s">
        <v>1355</v>
      </c>
      <c r="D648" s="3" t="s">
        <v>1356</v>
      </c>
      <c r="E648" s="4">
        <v>6976</v>
      </c>
      <c r="F648" s="3" t="s">
        <v>96</v>
      </c>
      <c r="G648" s="3" t="s">
        <v>27</v>
      </c>
      <c r="H648" s="3" t="str">
        <f>VLOOKUP(B648,'[1]Select territorios'!$C:$L,10,0)</f>
        <v>9.232224</v>
      </c>
      <c r="I648" s="3" t="str">
        <f>VLOOKUP(B648,'[1]Select territorios'!$C:$M,11,0)</f>
        <v>-73.808841</v>
      </c>
      <c r="J648" s="5" t="s">
        <v>48</v>
      </c>
      <c r="K648" s="5">
        <v>1064795379</v>
      </c>
      <c r="L648" s="5">
        <v>3104688587</v>
      </c>
      <c r="M648" s="5" t="s">
        <v>49</v>
      </c>
    </row>
    <row r="649" spans="1:13" ht="15.75" x14ac:dyDescent="0.25">
      <c r="A649" s="3">
        <v>6971</v>
      </c>
      <c r="B649" s="3">
        <v>46851</v>
      </c>
      <c r="C649" s="3" t="s">
        <v>1357</v>
      </c>
      <c r="D649" s="3" t="s">
        <v>1358</v>
      </c>
      <c r="E649" s="4">
        <v>18936</v>
      </c>
      <c r="F649" s="3" t="s">
        <v>21</v>
      </c>
      <c r="G649" s="3" t="s">
        <v>27</v>
      </c>
      <c r="H649" s="3" t="str">
        <f>VLOOKUP(B649,'[1]Select territorios'!$C:$L,10,0)</f>
        <v>10.485854</v>
      </c>
      <c r="I649" s="3" t="str">
        <f>VLOOKUP(B649,'[1]Select territorios'!$C:$M,11,0)</f>
        <v>-73.257116</v>
      </c>
      <c r="J649" s="5" t="s">
        <v>23</v>
      </c>
      <c r="K649" s="5">
        <v>1065600058</v>
      </c>
      <c r="L649" s="5">
        <v>3123009293</v>
      </c>
      <c r="M649" s="5" t="s">
        <v>24</v>
      </c>
    </row>
    <row r="650" spans="1:13" ht="15.75" x14ac:dyDescent="0.25">
      <c r="A650" s="3">
        <v>6971</v>
      </c>
      <c r="B650" s="3">
        <v>46914</v>
      </c>
      <c r="C650" s="3" t="s">
        <v>1359</v>
      </c>
      <c r="D650" s="3" t="s">
        <v>1360</v>
      </c>
      <c r="E650" s="4">
        <v>6984</v>
      </c>
      <c r="F650" s="3" t="s">
        <v>75</v>
      </c>
      <c r="G650" s="3" t="s">
        <v>27</v>
      </c>
      <c r="H650" s="3" t="str">
        <f>VLOOKUP(B650,'[1]Select territorios'!$C:$L,10,0)</f>
        <v>8.493100</v>
      </c>
      <c r="I650" s="3" t="str">
        <f>VLOOKUP(B650,'[1]Select territorios'!$C:$M,11,0)</f>
        <v>73.638400</v>
      </c>
      <c r="J650" s="5" t="s">
        <v>71</v>
      </c>
      <c r="K650" s="5">
        <v>1065818056</v>
      </c>
      <c r="L650" s="5">
        <v>3145467066</v>
      </c>
      <c r="M650" s="5" t="s">
        <v>72</v>
      </c>
    </row>
    <row r="651" spans="1:13" ht="15.75" x14ac:dyDescent="0.25">
      <c r="A651" s="3">
        <v>6971</v>
      </c>
      <c r="B651" s="3">
        <v>46839</v>
      </c>
      <c r="C651" s="3" t="s">
        <v>1361</v>
      </c>
      <c r="D651" s="3" t="s">
        <v>1362</v>
      </c>
      <c r="E651" s="4">
        <v>8558</v>
      </c>
      <c r="F651" s="3" t="s">
        <v>62</v>
      </c>
      <c r="G651" s="3" t="s">
        <v>27</v>
      </c>
      <c r="H651" s="3" t="str">
        <f>VLOOKUP(B651,'[1]Select territorios'!$C:$L,10,0)</f>
        <v>10.478664</v>
      </c>
      <c r="I651" s="3" t="str">
        <f>VLOOKUP(B651,'[1]Select territorios'!$C:$M,11,0)</f>
        <v>-73.271244</v>
      </c>
      <c r="J651" s="5" t="s">
        <v>23</v>
      </c>
      <c r="K651" s="5">
        <v>1065600058</v>
      </c>
      <c r="L651" s="5">
        <v>3123009293</v>
      </c>
      <c r="M651" s="5" t="s">
        <v>24</v>
      </c>
    </row>
    <row r="652" spans="1:13" ht="15.75" x14ac:dyDescent="0.25">
      <c r="A652" s="3">
        <v>6971</v>
      </c>
      <c r="B652" s="3">
        <v>47015</v>
      </c>
      <c r="C652" s="3" t="s">
        <v>1363</v>
      </c>
      <c r="D652" s="3" t="s">
        <v>1364</v>
      </c>
      <c r="E652" s="4">
        <v>8562</v>
      </c>
      <c r="F652" s="3" t="s">
        <v>118</v>
      </c>
      <c r="G652" s="3" t="s">
        <v>27</v>
      </c>
      <c r="H652" s="3" t="str">
        <f>VLOOKUP(B652,'[1]Select territorios'!$C:$L,10,0)</f>
        <v>8.310255</v>
      </c>
      <c r="I652" s="3" t="str">
        <f>VLOOKUP(B652,'[1]Select territorios'!$C:$M,11,0)</f>
        <v>-73.634252</v>
      </c>
      <c r="J652" s="5" t="s">
        <v>71</v>
      </c>
      <c r="K652" s="5">
        <v>1065818056</v>
      </c>
      <c r="L652" s="5">
        <v>3145467066</v>
      </c>
      <c r="M652" s="5" t="s">
        <v>72</v>
      </c>
    </row>
    <row r="653" spans="1:13" ht="15.75" x14ac:dyDescent="0.25">
      <c r="A653" s="3">
        <v>6971</v>
      </c>
      <c r="B653" s="3">
        <v>46968</v>
      </c>
      <c r="C653" s="3" t="s">
        <v>1365</v>
      </c>
      <c r="D653" s="3" t="s">
        <v>1366</v>
      </c>
      <c r="E653" s="4">
        <v>6980</v>
      </c>
      <c r="F653" s="3" t="s">
        <v>384</v>
      </c>
      <c r="G653" s="3" t="s">
        <v>27</v>
      </c>
      <c r="H653" s="3" t="str">
        <f>VLOOKUP(B653,'[1]Select territorios'!$C:$L,10,0)</f>
        <v>10.156368</v>
      </c>
      <c r="I653" s="3" t="str">
        <f>VLOOKUP(B653,'[1]Select territorios'!$C:$M,11,0)</f>
        <v>-73.963010</v>
      </c>
      <c r="J653" s="5" t="s">
        <v>48</v>
      </c>
      <c r="K653" s="5">
        <v>1064795379</v>
      </c>
      <c r="L653" s="5">
        <v>3104688587</v>
      </c>
      <c r="M653" s="5" t="s">
        <v>49</v>
      </c>
    </row>
    <row r="654" spans="1:13" ht="15.75" x14ac:dyDescent="0.25">
      <c r="A654" s="3">
        <v>6971</v>
      </c>
      <c r="B654" s="3">
        <v>46970</v>
      </c>
      <c r="C654" s="3" t="s">
        <v>1367</v>
      </c>
      <c r="D654" s="3" t="s">
        <v>1368</v>
      </c>
      <c r="E654" s="4">
        <v>6990</v>
      </c>
      <c r="F654" s="3" t="s">
        <v>131</v>
      </c>
      <c r="G654" s="3" t="s">
        <v>27</v>
      </c>
      <c r="H654" s="3" t="str">
        <f>VLOOKUP(B654,'[1]Select territorios'!$C:$L,10,0)</f>
        <v>8.956741</v>
      </c>
      <c r="I654" s="3" t="str">
        <f>VLOOKUP(B654,'[1]Select territorios'!$C:$M,11,0)</f>
        <v>-73.618662</v>
      </c>
      <c r="J654" s="5" t="s">
        <v>71</v>
      </c>
      <c r="K654" s="5">
        <v>1065818056</v>
      </c>
      <c r="L654" s="5">
        <v>3145467066</v>
      </c>
      <c r="M654" s="5" t="s">
        <v>72</v>
      </c>
    </row>
    <row r="655" spans="1:13" ht="15.75" x14ac:dyDescent="0.25">
      <c r="A655" s="3">
        <v>6971</v>
      </c>
      <c r="B655" s="3">
        <v>46835</v>
      </c>
      <c r="C655" s="3" t="s">
        <v>1369</v>
      </c>
      <c r="D655" s="3" t="s">
        <v>1370</v>
      </c>
      <c r="E655" s="4">
        <v>6991</v>
      </c>
      <c r="F655" s="3" t="s">
        <v>70</v>
      </c>
      <c r="G655" s="3" t="s">
        <v>27</v>
      </c>
      <c r="H655" s="3" t="str">
        <f>VLOOKUP(B655,'[1]Select territorios'!$C:$L,10,0)</f>
        <v>8.689800</v>
      </c>
      <c r="I655" s="3" t="str">
        <f>VLOOKUP(B655,'[1]Select territorios'!$C:$M,11,0)</f>
        <v>-73.663300</v>
      </c>
      <c r="J655" s="5" t="s">
        <v>71</v>
      </c>
      <c r="K655" s="5">
        <v>1065818056</v>
      </c>
      <c r="L655" s="5">
        <v>3145467066</v>
      </c>
      <c r="M655" s="5" t="s">
        <v>72</v>
      </c>
    </row>
    <row r="656" spans="1:13" ht="15.75" x14ac:dyDescent="0.25">
      <c r="A656" s="3">
        <v>6971</v>
      </c>
      <c r="B656" s="3">
        <v>47383</v>
      </c>
      <c r="C656" s="3" t="s">
        <v>1371</v>
      </c>
      <c r="D656" s="3" t="s">
        <v>1372</v>
      </c>
      <c r="E656" s="4">
        <v>23794</v>
      </c>
      <c r="F656" s="3" t="s">
        <v>242</v>
      </c>
      <c r="G656" s="3" t="s">
        <v>27</v>
      </c>
      <c r="H656" s="3" t="str">
        <f>VLOOKUP(B656,'[1]Select territorios'!$C:$L,10,0)</f>
        <v>10.293756</v>
      </c>
      <c r="I656" s="3" t="str">
        <f>VLOOKUP(B656,'[1]Select territorios'!$C:$M,11,0)</f>
        <v>-73.168064</v>
      </c>
      <c r="J656" s="5" t="s">
        <v>17</v>
      </c>
      <c r="K656" s="5">
        <v>15173890</v>
      </c>
      <c r="L656" s="5">
        <v>3002039991</v>
      </c>
      <c r="M656" s="5" t="s">
        <v>18</v>
      </c>
    </row>
    <row r="657" spans="1:13" ht="15.75" x14ac:dyDescent="0.25">
      <c r="A657" s="3">
        <v>6971</v>
      </c>
      <c r="B657" s="3">
        <v>46958</v>
      </c>
      <c r="C657" s="3" t="s">
        <v>1373</v>
      </c>
      <c r="D657" s="3" t="s">
        <v>1374</v>
      </c>
      <c r="E657" s="4">
        <v>44808</v>
      </c>
      <c r="F657" s="3" t="s">
        <v>245</v>
      </c>
      <c r="G657" s="3" t="s">
        <v>27</v>
      </c>
      <c r="H657" s="3" t="str">
        <f>VLOOKUP(B657,'[1]Select territorios'!$C:$L,10,0)</f>
        <v>9.292438</v>
      </c>
      <c r="I657" s="3" t="str">
        <f>VLOOKUP(B657,'[1]Select territorios'!$C:$M,11,0)</f>
        <v>-73.514968</v>
      </c>
      <c r="J657" s="5" t="s">
        <v>58</v>
      </c>
      <c r="K657" s="5">
        <v>1193146338</v>
      </c>
      <c r="L657" s="5">
        <v>3202114923</v>
      </c>
      <c r="M657" s="5" t="s">
        <v>59</v>
      </c>
    </row>
    <row r="658" spans="1:13" ht="15.75" x14ac:dyDescent="0.25">
      <c r="A658" s="3">
        <v>6971</v>
      </c>
      <c r="B658" s="3">
        <v>47057</v>
      </c>
      <c r="C658" s="3" t="s">
        <v>1375</v>
      </c>
      <c r="D658" s="3" t="s">
        <v>1376</v>
      </c>
      <c r="E658" s="4">
        <v>8553</v>
      </c>
      <c r="F658" s="3" t="s">
        <v>15</v>
      </c>
      <c r="G658" s="3" t="s">
        <v>27</v>
      </c>
      <c r="H658" s="3" t="str">
        <f>VLOOKUP(B658,'[1]Select territorios'!$C:$L,10,0)</f>
        <v>10.470680</v>
      </c>
      <c r="I658" s="3" t="str">
        <f>VLOOKUP(B658,'[1]Select territorios'!$C:$M,11,0)</f>
        <v>-73.275700</v>
      </c>
      <c r="J658" s="5" t="s">
        <v>17</v>
      </c>
      <c r="K658" s="5">
        <v>15173890</v>
      </c>
      <c r="L658" s="5">
        <v>3002039991</v>
      </c>
      <c r="M658" s="5" t="s">
        <v>18</v>
      </c>
    </row>
    <row r="659" spans="1:13" ht="15.75" x14ac:dyDescent="0.25">
      <c r="A659" s="3">
        <v>6971</v>
      </c>
      <c r="B659" s="3">
        <v>47155</v>
      </c>
      <c r="C659" s="3" t="s">
        <v>1377</v>
      </c>
      <c r="D659" s="3" t="s">
        <v>1378</v>
      </c>
      <c r="E659" s="4">
        <v>8562</v>
      </c>
      <c r="F659" s="3" t="s">
        <v>118</v>
      </c>
      <c r="G659" s="3" t="s">
        <v>27</v>
      </c>
      <c r="H659" s="3" t="str">
        <f>VLOOKUP(B659,'[1]Select territorios'!$C:$L,10,0)</f>
        <v>8.310594</v>
      </c>
      <c r="I659" s="3" t="str">
        <f>VLOOKUP(B659,'[1]Select territorios'!$C:$M,11,0)</f>
        <v>-73.636033</v>
      </c>
      <c r="J659" s="5" t="s">
        <v>71</v>
      </c>
      <c r="K659" s="5">
        <v>1065818056</v>
      </c>
      <c r="L659" s="5">
        <v>3145467066</v>
      </c>
      <c r="M659" s="5" t="s">
        <v>72</v>
      </c>
    </row>
    <row r="660" spans="1:13" ht="15.75" x14ac:dyDescent="0.25">
      <c r="A660" s="3">
        <v>6971</v>
      </c>
      <c r="B660" s="3">
        <v>47180</v>
      </c>
      <c r="C660" s="3" t="s">
        <v>1379</v>
      </c>
      <c r="D660" s="3" t="s">
        <v>1380</v>
      </c>
      <c r="E660" s="4">
        <v>6985</v>
      </c>
      <c r="F660" s="3" t="s">
        <v>101</v>
      </c>
      <c r="G660" s="3" t="s">
        <v>27</v>
      </c>
      <c r="H660" s="3" t="str">
        <f>VLOOKUP(B660,'[1]Select territorios'!$C:$L,10,0)</f>
        <v>9.5554</v>
      </c>
      <c r="I660" s="3" t="str">
        <f>VLOOKUP(B660,'[1]Select territorios'!$C:$M,11,0)</f>
        <v>-73.3316</v>
      </c>
      <c r="J660" s="5" t="s">
        <v>58</v>
      </c>
      <c r="K660" s="5">
        <v>1193146338</v>
      </c>
      <c r="L660" s="5">
        <v>3202114923</v>
      </c>
      <c r="M660" s="5" t="s">
        <v>59</v>
      </c>
    </row>
    <row r="661" spans="1:13" ht="15.75" x14ac:dyDescent="0.25">
      <c r="A661" s="3">
        <v>6971</v>
      </c>
      <c r="B661" s="3">
        <v>47181</v>
      </c>
      <c r="C661" s="3" t="s">
        <v>1381</v>
      </c>
      <c r="D661" s="3" t="s">
        <v>1382</v>
      </c>
      <c r="E661" s="4">
        <v>6974</v>
      </c>
      <c r="F661" s="3" t="s">
        <v>123</v>
      </c>
      <c r="G661" s="3" t="s">
        <v>27</v>
      </c>
      <c r="H661" s="3" t="str">
        <f>VLOOKUP(B661,'[1]Select territorios'!$C:$L,10,0)</f>
        <v>9.70298</v>
      </c>
      <c r="I661" s="3" t="str">
        <f>VLOOKUP(B661,'[1]Select territorios'!$C:$M,11,0)</f>
        <v>-73.27382</v>
      </c>
      <c r="J661" s="5" t="s">
        <v>58</v>
      </c>
      <c r="K661" s="5">
        <v>1193146338</v>
      </c>
      <c r="L661" s="5">
        <v>3202114923</v>
      </c>
      <c r="M661" s="5" t="s">
        <v>59</v>
      </c>
    </row>
    <row r="662" spans="1:13" ht="15.75" x14ac:dyDescent="0.25">
      <c r="A662" s="3">
        <v>6971</v>
      </c>
      <c r="B662" s="3">
        <v>46837</v>
      </c>
      <c r="C662" s="3" t="s">
        <v>1383</v>
      </c>
      <c r="D662" s="3" t="s">
        <v>1384</v>
      </c>
      <c r="E662" s="4">
        <v>8553</v>
      </c>
      <c r="F662" s="3" t="s">
        <v>15</v>
      </c>
      <c r="G662" s="3" t="s">
        <v>27</v>
      </c>
      <c r="H662" s="3" t="str">
        <f>VLOOKUP(B662,'[1]Select territorios'!$C:$L,10,0)</f>
        <v>10.478029</v>
      </c>
      <c r="I662" s="3" t="str">
        <f>VLOOKUP(B662,'[1]Select territorios'!$C:$M,11,0)</f>
        <v>-73.281501</v>
      </c>
      <c r="J662" s="5" t="s">
        <v>17</v>
      </c>
      <c r="K662" s="5">
        <v>15173890</v>
      </c>
      <c r="L662" s="5">
        <v>3002039991</v>
      </c>
      <c r="M662" s="5" t="s">
        <v>18</v>
      </c>
    </row>
    <row r="663" spans="1:13" ht="15.75" x14ac:dyDescent="0.25">
      <c r="A663" s="3">
        <v>6971</v>
      </c>
      <c r="B663" s="3">
        <v>47345</v>
      </c>
      <c r="C663" s="3" t="s">
        <v>1385</v>
      </c>
      <c r="D663" s="3" t="s">
        <v>1386</v>
      </c>
      <c r="E663" s="4">
        <v>6989</v>
      </c>
      <c r="F663" s="3" t="s">
        <v>39</v>
      </c>
      <c r="G663" s="3" t="s">
        <v>27</v>
      </c>
      <c r="H663" s="3" t="str">
        <f>VLOOKUP(B663,'[1]Select territorios'!$C:$L,10,0)</f>
        <v>10.387436</v>
      </c>
      <c r="I663" s="3" t="str">
        <f>VLOOKUP(B663,'[1]Select territorios'!$C:$M,11,0)</f>
        <v>-73.036376</v>
      </c>
      <c r="J663" s="5" t="s">
        <v>40</v>
      </c>
      <c r="K663" s="5">
        <v>1003275622</v>
      </c>
      <c r="L663" s="5">
        <v>3218847746</v>
      </c>
      <c r="M663" s="5" t="s">
        <v>41</v>
      </c>
    </row>
    <row r="664" spans="1:13" ht="15.75" x14ac:dyDescent="0.25">
      <c r="A664" s="3">
        <v>6971</v>
      </c>
      <c r="B664" s="3">
        <v>47341</v>
      </c>
      <c r="C664" s="3" t="s">
        <v>1387</v>
      </c>
      <c r="D664" s="3" t="s">
        <v>1388</v>
      </c>
      <c r="E664" s="4">
        <v>6977</v>
      </c>
      <c r="F664" s="3" t="s">
        <v>52</v>
      </c>
      <c r="G664" s="3" t="s">
        <v>27</v>
      </c>
      <c r="H664" s="3" t="str">
        <f>VLOOKUP(B664,'[1]Select territorios'!$C:$L,10,0)</f>
        <v>9.359176</v>
      </c>
      <c r="I664" s="3" t="str">
        <f>VLOOKUP(B664,'[1]Select territorios'!$C:$M,11,0)</f>
        <v>-73.605503</v>
      </c>
      <c r="J664" s="5" t="s">
        <v>48</v>
      </c>
      <c r="K664" s="5">
        <v>1064795379</v>
      </c>
      <c r="L664" s="5">
        <v>3104688587</v>
      </c>
      <c r="M664" s="5" t="s">
        <v>49</v>
      </c>
    </row>
    <row r="665" spans="1:13" ht="15.75" x14ac:dyDescent="0.25">
      <c r="A665" s="3">
        <v>6971</v>
      </c>
      <c r="B665" s="3">
        <v>47411</v>
      </c>
      <c r="C665" s="3" t="s">
        <v>1389</v>
      </c>
      <c r="D665" s="3" t="s">
        <v>1390</v>
      </c>
      <c r="E665" s="4">
        <v>44806</v>
      </c>
      <c r="F665" s="3" t="s">
        <v>326</v>
      </c>
      <c r="G665" s="3" t="s">
        <v>27</v>
      </c>
      <c r="H665" s="3" t="str">
        <f>VLOOKUP(B665,'[1]Select territorios'!$C:$L,10,0)</f>
        <v>10.350346</v>
      </c>
      <c r="I665" s="3" t="str">
        <f>VLOOKUP(B665,'[1]Select territorios'!$C:$M,11,0)</f>
        <v>-73.043936</v>
      </c>
      <c r="J665" s="5" t="s">
        <v>40</v>
      </c>
      <c r="K665" s="5">
        <v>1003275622</v>
      </c>
      <c r="L665" s="5">
        <v>3218847746</v>
      </c>
      <c r="M665" s="5" t="s">
        <v>41</v>
      </c>
    </row>
    <row r="666" spans="1:13" ht="15.75" x14ac:dyDescent="0.25">
      <c r="A666" s="3">
        <v>6971</v>
      </c>
      <c r="B666" s="3">
        <v>47410</v>
      </c>
      <c r="C666" s="3" t="s">
        <v>1391</v>
      </c>
      <c r="D666" s="3" t="s">
        <v>1392</v>
      </c>
      <c r="E666" s="4">
        <v>6999</v>
      </c>
      <c r="F666" s="3" t="s">
        <v>260</v>
      </c>
      <c r="G666" s="3" t="s">
        <v>27</v>
      </c>
      <c r="H666" s="3" t="str">
        <f>VLOOKUP(B666,'[1]Select territorios'!$C:$L,10,0)</f>
        <v>8.910163</v>
      </c>
      <c r="I666" s="3" t="str">
        <f>VLOOKUP(B666,'[1]Select territorios'!$C:$M,11,0)</f>
        <v>-73.777227</v>
      </c>
      <c r="J666" s="5" t="s">
        <v>71</v>
      </c>
      <c r="K666" s="5">
        <v>1065818056</v>
      </c>
      <c r="L666" s="5">
        <v>3145467066</v>
      </c>
      <c r="M666" s="5" t="s">
        <v>72</v>
      </c>
    </row>
    <row r="667" spans="1:13" ht="15.75" x14ac:dyDescent="0.25">
      <c r="A667" s="3">
        <v>6971</v>
      </c>
      <c r="B667" s="3">
        <v>47446</v>
      </c>
      <c r="C667" s="3" t="s">
        <v>1393</v>
      </c>
      <c r="D667" s="3" t="s">
        <v>1394</v>
      </c>
      <c r="E667" s="4">
        <v>6974</v>
      </c>
      <c r="F667" s="3" t="s">
        <v>123</v>
      </c>
      <c r="G667" s="3" t="s">
        <v>27</v>
      </c>
      <c r="H667" s="3" t="str">
        <f>VLOOKUP(B667,'[1]Select territorios'!$C:$L,10,0)</f>
        <v>9.70053</v>
      </c>
      <c r="I667" s="3" t="str">
        <f>VLOOKUP(B667,'[1]Select territorios'!$C:$M,11,0)</f>
        <v>-73.28070</v>
      </c>
      <c r="J667" s="5" t="s">
        <v>58</v>
      </c>
      <c r="K667" s="5">
        <v>1193146338</v>
      </c>
      <c r="L667" s="5">
        <v>3202114923</v>
      </c>
      <c r="M667" s="5" t="s">
        <v>59</v>
      </c>
    </row>
    <row r="668" spans="1:13" ht="15.75" x14ac:dyDescent="0.25">
      <c r="A668" s="3">
        <v>6971</v>
      </c>
      <c r="B668" s="3">
        <v>47444</v>
      </c>
      <c r="C668" s="3" t="s">
        <v>1395</v>
      </c>
      <c r="D668" s="3" t="s">
        <v>1396</v>
      </c>
      <c r="E668" s="4">
        <v>6989</v>
      </c>
      <c r="F668" s="3" t="s">
        <v>39</v>
      </c>
      <c r="G668" s="3" t="s">
        <v>27</v>
      </c>
      <c r="H668" s="3" t="str">
        <f>VLOOKUP(B668,'[1]Select territorios'!$C:$L,10,0)</f>
        <v>10.386485</v>
      </c>
      <c r="I668" s="3" t="str">
        <f>VLOOKUP(B668,'[1]Select territorios'!$C:$M,11,0)</f>
        <v>-73.035153</v>
      </c>
      <c r="J668" s="5" t="s">
        <v>40</v>
      </c>
      <c r="K668" s="5">
        <v>1003275622</v>
      </c>
      <c r="L668" s="5">
        <v>3218847746</v>
      </c>
      <c r="M668" s="5" t="s">
        <v>41</v>
      </c>
    </row>
    <row r="669" spans="1:13" ht="15.75" x14ac:dyDescent="0.25">
      <c r="A669" s="3">
        <v>6971</v>
      </c>
      <c r="B669" s="3">
        <v>46841</v>
      </c>
      <c r="C669" s="3" t="s">
        <v>1397</v>
      </c>
      <c r="D669" s="3" t="s">
        <v>1398</v>
      </c>
      <c r="E669" s="4">
        <v>17176</v>
      </c>
      <c r="F669" s="3" t="s">
        <v>189</v>
      </c>
      <c r="G669" s="3" t="s">
        <v>27</v>
      </c>
      <c r="H669" s="3" t="str">
        <f>VLOOKUP(B669,'[1]Select territorios'!$C:$L,10,0)</f>
        <v>10.464380</v>
      </c>
      <c r="I669" s="3" t="str">
        <f>VLOOKUP(B669,'[1]Select territorios'!$C:$M,11,0)</f>
        <v>-73.239600</v>
      </c>
      <c r="J669" s="5" t="s">
        <v>40</v>
      </c>
      <c r="K669" s="5">
        <v>1003275622</v>
      </c>
      <c r="L669" s="5">
        <v>3218847746</v>
      </c>
      <c r="M669" s="5" t="s">
        <v>41</v>
      </c>
    </row>
    <row r="670" spans="1:13" ht="15.75" x14ac:dyDescent="0.25">
      <c r="A670" s="3">
        <v>6971</v>
      </c>
      <c r="B670" s="3">
        <v>47492</v>
      </c>
      <c r="C670" s="3" t="s">
        <v>1399</v>
      </c>
      <c r="D670" s="3" t="s">
        <v>1400</v>
      </c>
      <c r="E670" s="4">
        <v>42463</v>
      </c>
      <c r="F670" s="3" t="s">
        <v>377</v>
      </c>
      <c r="G670" s="3" t="s">
        <v>27</v>
      </c>
      <c r="H670" s="3" t="str">
        <f>VLOOKUP(B670,'[1]Select territorios'!$C:$L,10,0)</f>
        <v>10.026938</v>
      </c>
      <c r="I670" s="3" t="str">
        <f>VLOOKUP(B670,'[1]Select territorios'!$C:$M,11,0)</f>
        <v>-73.235835</v>
      </c>
      <c r="J670" s="5" t="s">
        <v>58</v>
      </c>
      <c r="K670" s="5">
        <v>1193146338</v>
      </c>
      <c r="L670" s="5">
        <v>3202114923</v>
      </c>
      <c r="M670" s="5" t="s">
        <v>59</v>
      </c>
    </row>
    <row r="671" spans="1:13" ht="15.75" x14ac:dyDescent="0.25">
      <c r="A671" s="3">
        <v>6971</v>
      </c>
      <c r="B671" s="3">
        <v>47481</v>
      </c>
      <c r="C671" s="3" t="s">
        <v>1401</v>
      </c>
      <c r="D671" s="3" t="s">
        <v>1402</v>
      </c>
      <c r="E671" s="4">
        <v>6981</v>
      </c>
      <c r="F671" s="3" t="s">
        <v>47</v>
      </c>
      <c r="G671" s="3" t="s">
        <v>27</v>
      </c>
      <c r="H671" s="3" t="str">
        <f>VLOOKUP(B671,'[1]Select territorios'!$C:$L,10,0)</f>
        <v>9.7375</v>
      </c>
      <c r="I671" s="3" t="str">
        <f>VLOOKUP(B671,'[1]Select territorios'!$C:$M,11,0)</f>
        <v>-73.7111</v>
      </c>
      <c r="J671" s="5" t="s">
        <v>48</v>
      </c>
      <c r="K671" s="5">
        <v>1064795379</v>
      </c>
      <c r="L671" s="5">
        <v>3104688587</v>
      </c>
      <c r="M671" s="5" t="s">
        <v>49</v>
      </c>
    </row>
    <row r="672" spans="1:13" ht="15.75" x14ac:dyDescent="0.25">
      <c r="A672" s="3">
        <v>6971</v>
      </c>
      <c r="B672" s="3">
        <v>47553</v>
      </c>
      <c r="C672" s="3" t="s">
        <v>1403</v>
      </c>
      <c r="D672" s="3" t="s">
        <v>1404</v>
      </c>
      <c r="E672" s="4">
        <v>6985</v>
      </c>
      <c r="F672" s="3" t="s">
        <v>101</v>
      </c>
      <c r="G672" s="3" t="s">
        <v>27</v>
      </c>
      <c r="H672" s="3" t="str">
        <f>VLOOKUP(B672,'[1]Select territorios'!$C:$L,10,0)</f>
        <v>9.556713</v>
      </c>
      <c r="I672" s="3" t="str">
        <f>VLOOKUP(B672,'[1]Select territorios'!$C:$M,11,0)</f>
        <v>-73.335269</v>
      </c>
      <c r="J672" s="5" t="s">
        <v>58</v>
      </c>
      <c r="K672" s="5">
        <v>1193146338</v>
      </c>
      <c r="L672" s="5">
        <v>3202114923</v>
      </c>
      <c r="M672" s="5" t="s">
        <v>59</v>
      </c>
    </row>
    <row r="673" spans="1:13" ht="15.75" x14ac:dyDescent="0.25">
      <c r="A673" s="3">
        <v>6971</v>
      </c>
      <c r="B673" s="3">
        <v>47545</v>
      </c>
      <c r="C673" s="3" t="s">
        <v>1405</v>
      </c>
      <c r="D673" s="3" t="s">
        <v>1406</v>
      </c>
      <c r="E673" s="4">
        <v>18935</v>
      </c>
      <c r="F673" s="3" t="s">
        <v>44</v>
      </c>
      <c r="G673" s="3" t="s">
        <v>27</v>
      </c>
      <c r="H673" s="3" t="str">
        <f>VLOOKUP(B673,'[1]Select territorios'!$C:$L,10,0)</f>
        <v>10.45908</v>
      </c>
      <c r="I673" s="3" t="str">
        <f>VLOOKUP(B673,'[1]Select territorios'!$C:$M,11,0)</f>
        <v>-73.24979</v>
      </c>
      <c r="J673" s="5" t="s">
        <v>40</v>
      </c>
      <c r="K673" s="5">
        <v>1003275622</v>
      </c>
      <c r="L673" s="5">
        <v>3218847746</v>
      </c>
      <c r="M673" s="5" t="s">
        <v>41</v>
      </c>
    </row>
    <row r="674" spans="1:13" ht="15.75" x14ac:dyDescent="0.25">
      <c r="A674" s="3">
        <v>6971</v>
      </c>
      <c r="B674" s="3">
        <v>47198</v>
      </c>
      <c r="C674" s="3" t="s">
        <v>1407</v>
      </c>
      <c r="D674" s="3" t="s">
        <v>1408</v>
      </c>
      <c r="E674" s="4">
        <v>17176</v>
      </c>
      <c r="F674" s="3" t="s">
        <v>189</v>
      </c>
      <c r="G674" s="3" t="s">
        <v>27</v>
      </c>
      <c r="H674" s="3" t="str">
        <f>VLOOKUP(B674,'[1]Select territorios'!$C:$L,10,0)</f>
        <v>10.46336</v>
      </c>
      <c r="I674" s="3" t="str">
        <f>VLOOKUP(B674,'[1]Select territorios'!$C:$M,11,0)</f>
        <v>-73.24323</v>
      </c>
      <c r="J674" s="5" t="s">
        <v>40</v>
      </c>
      <c r="K674" s="5">
        <v>1003275622</v>
      </c>
      <c r="L674" s="5">
        <v>3218847746</v>
      </c>
      <c r="M674" s="5" t="s">
        <v>41</v>
      </c>
    </row>
    <row r="675" spans="1:13" ht="15.75" x14ac:dyDescent="0.25">
      <c r="A675" s="3">
        <v>6971</v>
      </c>
      <c r="B675" s="3">
        <v>47552</v>
      </c>
      <c r="C675" s="3" t="s">
        <v>1409</v>
      </c>
      <c r="D675" s="3" t="s">
        <v>1410</v>
      </c>
      <c r="E675" s="4">
        <v>42463</v>
      </c>
      <c r="F675" s="3" t="s">
        <v>377</v>
      </c>
      <c r="G675" s="3" t="s">
        <v>27</v>
      </c>
      <c r="H675" s="3" t="str">
        <f>VLOOKUP(B675,'[1]Select territorios'!$C:$L,10,0)</f>
        <v>10.033811</v>
      </c>
      <c r="I675" s="3" t="str">
        <f>VLOOKUP(B675,'[1]Select territorios'!$C:$M,11,0)</f>
        <v>-73.231237</v>
      </c>
      <c r="J675" s="5" t="s">
        <v>58</v>
      </c>
      <c r="K675" s="5">
        <v>1193146338</v>
      </c>
      <c r="L675" s="5">
        <v>3202114923</v>
      </c>
      <c r="M675" s="5" t="s">
        <v>59</v>
      </c>
    </row>
    <row r="676" spans="1:13" ht="15.75" x14ac:dyDescent="0.25">
      <c r="A676" s="3">
        <v>6971</v>
      </c>
      <c r="B676" s="3">
        <v>47554</v>
      </c>
      <c r="C676" s="3" t="s">
        <v>1411</v>
      </c>
      <c r="D676" s="3" t="s">
        <v>1412</v>
      </c>
      <c r="E676" s="4">
        <v>6996</v>
      </c>
      <c r="F676" s="3" t="s">
        <v>113</v>
      </c>
      <c r="G676" s="3" t="s">
        <v>27</v>
      </c>
      <c r="H676" s="3" t="str">
        <f>VLOOKUP(B676,'[1]Select territorios'!$C:$L,10,0)</f>
        <v>7.763685</v>
      </c>
      <c r="I676" s="3" t="str">
        <f>VLOOKUP(B676,'[1]Select territorios'!$C:$M,11,0)</f>
        <v>-73.396631</v>
      </c>
      <c r="J676" s="5" t="s">
        <v>107</v>
      </c>
      <c r="K676" s="5">
        <v>1005281494</v>
      </c>
      <c r="L676" s="5">
        <v>3158541035</v>
      </c>
      <c r="M676" s="5" t="s">
        <v>108</v>
      </c>
    </row>
    <row r="677" spans="1:13" ht="15.75" x14ac:dyDescent="0.25">
      <c r="A677" s="3">
        <v>6971</v>
      </c>
      <c r="B677" s="3">
        <v>47626</v>
      </c>
      <c r="C677" s="3" t="s">
        <v>1413</v>
      </c>
      <c r="D677" s="3" t="s">
        <v>1414</v>
      </c>
      <c r="E677" s="4">
        <v>9206</v>
      </c>
      <c r="F677" s="3" t="s">
        <v>33</v>
      </c>
      <c r="G677" s="3" t="s">
        <v>27</v>
      </c>
      <c r="H677" s="3" t="str">
        <f>VLOOKUP(B677,'[1]Select territorios'!$C:$L,10,0)</f>
        <v>10.444638</v>
      </c>
      <c r="I677" s="3" t="str">
        <f>VLOOKUP(B677,'[1]Select territorios'!$C:$M,11,0)</f>
        <v>-73.273780</v>
      </c>
      <c r="J677" s="5" t="s">
        <v>17</v>
      </c>
      <c r="K677" s="5">
        <v>15173890</v>
      </c>
      <c r="L677" s="5">
        <v>3002039991</v>
      </c>
      <c r="M677" s="5" t="s">
        <v>18</v>
      </c>
    </row>
    <row r="678" spans="1:13" ht="15.75" x14ac:dyDescent="0.25">
      <c r="A678" s="3">
        <v>6971</v>
      </c>
      <c r="B678" s="3">
        <v>47569</v>
      </c>
      <c r="C678" s="3" t="s">
        <v>1415</v>
      </c>
      <c r="D678" s="3" t="s">
        <v>1416</v>
      </c>
      <c r="E678" s="4">
        <v>18935</v>
      </c>
      <c r="F678" s="3" t="s">
        <v>44</v>
      </c>
      <c r="G678" s="3" t="s">
        <v>27</v>
      </c>
      <c r="H678" s="3" t="str">
        <f>VLOOKUP(B678,'[1]Select territorios'!$C:$L,10,0)</f>
        <v>10.45290532</v>
      </c>
      <c r="I678" s="3" t="str">
        <f>VLOOKUP(B678,'[1]Select territorios'!$C:$M,11,0)</f>
        <v>-73.25016959</v>
      </c>
      <c r="J678" s="5" t="s">
        <v>40</v>
      </c>
      <c r="K678" s="5">
        <v>1003275622</v>
      </c>
      <c r="L678" s="5">
        <v>3218847746</v>
      </c>
      <c r="M678" s="5" t="s">
        <v>41</v>
      </c>
    </row>
    <row r="679" spans="1:13" ht="15.75" x14ac:dyDescent="0.25">
      <c r="A679" s="3">
        <v>6971</v>
      </c>
      <c r="B679" s="3">
        <v>47600</v>
      </c>
      <c r="C679" s="3" t="s">
        <v>1417</v>
      </c>
      <c r="D679" s="3" t="s">
        <v>1418</v>
      </c>
      <c r="E679" s="4">
        <v>6980</v>
      </c>
      <c r="F679" s="3" t="s">
        <v>384</v>
      </c>
      <c r="G679" s="3" t="s">
        <v>27</v>
      </c>
      <c r="H679" s="3" t="str">
        <f>VLOOKUP(B679,'[1]Select territorios'!$C:$L,10,0)</f>
        <v>10.166243</v>
      </c>
      <c r="I679" s="3" t="str">
        <f>VLOOKUP(B679,'[1]Select territorios'!$C:$M,11,0)</f>
        <v>-73.963165</v>
      </c>
      <c r="J679" s="5" t="s">
        <v>48</v>
      </c>
      <c r="K679" s="5">
        <v>1064795379</v>
      </c>
      <c r="L679" s="5">
        <v>3104688587</v>
      </c>
      <c r="M679" s="5" t="s">
        <v>49</v>
      </c>
    </row>
    <row r="680" spans="1:13" ht="15.75" x14ac:dyDescent="0.25">
      <c r="A680" s="3">
        <v>6971</v>
      </c>
      <c r="B680" s="3">
        <v>47623</v>
      </c>
      <c r="C680" s="3" t="s">
        <v>1419</v>
      </c>
      <c r="D680" s="3" t="s">
        <v>1420</v>
      </c>
      <c r="E680" s="4">
        <v>6986</v>
      </c>
      <c r="F680" s="3" t="s">
        <v>294</v>
      </c>
      <c r="G680" s="3" t="s">
        <v>27</v>
      </c>
      <c r="H680" s="3" t="str">
        <f>VLOOKUP(B680,'[1]Select territorios'!$C:$L,10,0)</f>
        <v>9.6227</v>
      </c>
      <c r="I680" s="3" t="str">
        <f>VLOOKUP(B680,'[1]Select territorios'!$C:$M,11,0)</f>
        <v>-73.6043</v>
      </c>
      <c r="J680" s="5" t="s">
        <v>48</v>
      </c>
      <c r="K680" s="5">
        <v>1064795379</v>
      </c>
      <c r="L680" s="5">
        <v>3104688587</v>
      </c>
      <c r="M680" s="5" t="s">
        <v>49</v>
      </c>
    </row>
    <row r="681" spans="1:13" ht="15.75" x14ac:dyDescent="0.25">
      <c r="A681" s="3">
        <v>6971</v>
      </c>
      <c r="B681" s="3">
        <v>47658</v>
      </c>
      <c r="C681" s="3" t="s">
        <v>1421</v>
      </c>
      <c r="D681" s="3" t="s">
        <v>1422</v>
      </c>
      <c r="E681" s="4">
        <v>8558</v>
      </c>
      <c r="F681" s="3" t="s">
        <v>62</v>
      </c>
      <c r="G681" s="3" t="s">
        <v>27</v>
      </c>
      <c r="H681" s="3" t="str">
        <f>VLOOKUP(B681,'[1]Select territorios'!$C:$L,10,0)</f>
        <v>10.484362</v>
      </c>
      <c r="I681" s="3" t="str">
        <f>VLOOKUP(B681,'[1]Select territorios'!$C:$M,11,0)</f>
        <v>-73.268775</v>
      </c>
      <c r="J681" s="5" t="s">
        <v>23</v>
      </c>
      <c r="K681" s="5">
        <v>1065600058</v>
      </c>
      <c r="L681" s="5">
        <v>3123009293</v>
      </c>
      <c r="M681" s="5" t="s">
        <v>24</v>
      </c>
    </row>
    <row r="682" spans="1:13" ht="15.75" x14ac:dyDescent="0.25">
      <c r="A682" s="3">
        <v>6971</v>
      </c>
      <c r="B682" s="3">
        <v>47381</v>
      </c>
      <c r="C682" s="3" t="s">
        <v>1423</v>
      </c>
      <c r="D682" s="3" t="s">
        <v>1424</v>
      </c>
      <c r="E682" s="4">
        <v>17191</v>
      </c>
      <c r="F682" s="3" t="s">
        <v>186</v>
      </c>
      <c r="G682" s="3" t="s">
        <v>631</v>
      </c>
      <c r="H682" s="3" t="str">
        <f>VLOOKUP(B682,'[1]Select territorios'!$C:$L,10,0)</f>
        <v>10.434143</v>
      </c>
      <c r="I682" s="3" t="str">
        <f>VLOOKUP(B682,'[1]Select territorios'!$C:$M,11,0)</f>
        <v>-73.391804</v>
      </c>
      <c r="J682" s="5" t="s">
        <v>17</v>
      </c>
      <c r="K682" s="5">
        <v>15173890</v>
      </c>
      <c r="L682" s="5">
        <v>3002039991</v>
      </c>
      <c r="M682" s="5" t="s">
        <v>18</v>
      </c>
    </row>
    <row r="683" spans="1:13" ht="15.75" x14ac:dyDescent="0.25">
      <c r="A683" s="3">
        <v>6971</v>
      </c>
      <c r="B683" s="3">
        <v>47628</v>
      </c>
      <c r="C683" s="3" t="s">
        <v>1425</v>
      </c>
      <c r="D683" s="3" t="s">
        <v>1426</v>
      </c>
      <c r="E683" s="4">
        <v>8554</v>
      </c>
      <c r="F683" s="3" t="s">
        <v>81</v>
      </c>
      <c r="G683" s="3" t="s">
        <v>27</v>
      </c>
      <c r="H683" s="3" t="str">
        <f>VLOOKUP(B683,'[1]Select territorios'!$C:$L,10,0)</f>
        <v>10.44983</v>
      </c>
      <c r="I683" s="3" t="str">
        <f>VLOOKUP(B683,'[1]Select territorios'!$C:$M,11,0)</f>
        <v>-73.24852</v>
      </c>
      <c r="J683" s="5" t="s">
        <v>40</v>
      </c>
      <c r="K683" s="5">
        <v>1003275622</v>
      </c>
      <c r="L683" s="5">
        <v>3218847746</v>
      </c>
      <c r="M683" s="5" t="s">
        <v>41</v>
      </c>
    </row>
    <row r="684" spans="1:13" ht="15.75" x14ac:dyDescent="0.25">
      <c r="A684" s="3">
        <v>6971</v>
      </c>
      <c r="B684" s="3">
        <v>47544</v>
      </c>
      <c r="C684" s="3" t="s">
        <v>1427</v>
      </c>
      <c r="D684" s="3" t="s">
        <v>1428</v>
      </c>
      <c r="E684" s="4">
        <v>8560</v>
      </c>
      <c r="F684" s="3" t="s">
        <v>161</v>
      </c>
      <c r="G684" s="3" t="s">
        <v>27</v>
      </c>
      <c r="H684" s="3" t="str">
        <f>VLOOKUP(B684,'[1]Select territorios'!$C:$L,10,0)</f>
        <v>8.3191161</v>
      </c>
      <c r="I684" s="3" t="str">
        <f>VLOOKUP(B684,'[1]Select territorios'!$C:$M,11,0)</f>
        <v>-73.6070299</v>
      </c>
      <c r="J684" s="5" t="s">
        <v>107</v>
      </c>
      <c r="K684" s="5">
        <v>1005281494</v>
      </c>
      <c r="L684" s="5">
        <v>3158541035</v>
      </c>
      <c r="M684" s="5" t="s">
        <v>108</v>
      </c>
    </row>
    <row r="685" spans="1:13" ht="15.75" x14ac:dyDescent="0.25">
      <c r="A685" s="3">
        <v>6971</v>
      </c>
      <c r="B685" s="3">
        <v>47622</v>
      </c>
      <c r="C685" s="3" t="s">
        <v>1429</v>
      </c>
      <c r="D685" s="3" t="s">
        <v>1430</v>
      </c>
      <c r="E685" s="4">
        <v>8558</v>
      </c>
      <c r="F685" s="3" t="s">
        <v>62</v>
      </c>
      <c r="G685" s="3" t="s">
        <v>27</v>
      </c>
      <c r="H685" s="3" t="str">
        <f>VLOOKUP(B685,'[1]Select territorios'!$C:$L,10,0)</f>
        <v>10.46924542</v>
      </c>
      <c r="I685" s="3" t="str">
        <f>VLOOKUP(B685,'[1]Select territorios'!$C:$M,11,0)</f>
        <v>-73.2574537</v>
      </c>
      <c r="J685" s="5" t="s">
        <v>23</v>
      </c>
      <c r="K685" s="5">
        <v>1065600058</v>
      </c>
      <c r="L685" s="5">
        <v>3123009293</v>
      </c>
      <c r="M685" s="5" t="s">
        <v>24</v>
      </c>
    </row>
    <row r="686" spans="1:13" ht="15.75" x14ac:dyDescent="0.25">
      <c r="A686" s="3">
        <v>6971</v>
      </c>
      <c r="B686" s="3">
        <v>47735</v>
      </c>
      <c r="C686" s="3" t="s">
        <v>1431</v>
      </c>
      <c r="D686" s="3" t="s">
        <v>1432</v>
      </c>
      <c r="E686" s="4">
        <v>6988</v>
      </c>
      <c r="F686" s="3" t="s">
        <v>227</v>
      </c>
      <c r="G686" s="3" t="s">
        <v>27</v>
      </c>
      <c r="H686" s="3" t="str">
        <f>VLOOKUP(B686,'[1]Select territorios'!$C:$L,10,0)</f>
        <v>10.387125</v>
      </c>
      <c r="I686" s="3" t="str">
        <f>VLOOKUP(B686,'[1]Select territorios'!$C:$M,11,0)</f>
        <v>-73.166150</v>
      </c>
      <c r="J686" s="5" t="s">
        <v>23</v>
      </c>
      <c r="K686" s="5">
        <v>1065600058</v>
      </c>
      <c r="L686" s="5">
        <v>3123009293</v>
      </c>
      <c r="M686" s="5" t="s">
        <v>24</v>
      </c>
    </row>
    <row r="687" spans="1:13" ht="15.75" x14ac:dyDescent="0.25">
      <c r="A687" s="3">
        <v>6971</v>
      </c>
      <c r="B687" s="3">
        <v>47736</v>
      </c>
      <c r="C687" s="3" t="s">
        <v>486</v>
      </c>
      <c r="D687" s="3" t="s">
        <v>1433</v>
      </c>
      <c r="E687" s="4">
        <v>6988</v>
      </c>
      <c r="F687" s="3" t="s">
        <v>227</v>
      </c>
      <c r="G687" s="3" t="s">
        <v>27</v>
      </c>
      <c r="H687" s="3" t="str">
        <f>VLOOKUP(B687,'[1]Select territorios'!$C:$L,10,0)</f>
        <v>10.386765</v>
      </c>
      <c r="I687" s="3" t="str">
        <f>VLOOKUP(B687,'[1]Select territorios'!$C:$M,11,0)</f>
        <v>-73.170678</v>
      </c>
      <c r="J687" s="5" t="s">
        <v>23</v>
      </c>
      <c r="K687" s="5">
        <v>1065600058</v>
      </c>
      <c r="L687" s="5">
        <v>3123009293</v>
      </c>
      <c r="M687" s="5" t="s">
        <v>24</v>
      </c>
    </row>
    <row r="688" spans="1:13" ht="15.75" x14ac:dyDescent="0.25">
      <c r="A688" s="3">
        <v>6971</v>
      </c>
      <c r="B688" s="3">
        <v>47753</v>
      </c>
      <c r="C688" s="3" t="s">
        <v>1434</v>
      </c>
      <c r="D688" s="3" t="s">
        <v>90</v>
      </c>
      <c r="E688" s="4">
        <v>6986</v>
      </c>
      <c r="F688" s="3" t="s">
        <v>294</v>
      </c>
      <c r="G688" s="3" t="s">
        <v>27</v>
      </c>
      <c r="H688" s="3" t="str">
        <f>VLOOKUP(B688,'[1]Select territorios'!$C:$L,10,0)</f>
        <v>9.6145</v>
      </c>
      <c r="I688" s="3" t="str">
        <f>VLOOKUP(B688,'[1]Select territorios'!$C:$M,11,0)</f>
        <v>-73.6031</v>
      </c>
      <c r="J688" s="5" t="s">
        <v>48</v>
      </c>
      <c r="K688" s="5">
        <v>1064795379</v>
      </c>
      <c r="L688" s="5">
        <v>3104688587</v>
      </c>
      <c r="M688" s="5" t="s">
        <v>49</v>
      </c>
    </row>
    <row r="689" spans="1:13" ht="15.75" x14ac:dyDescent="0.25">
      <c r="A689" s="3">
        <v>6971</v>
      </c>
      <c r="B689" s="3">
        <v>47768</v>
      </c>
      <c r="C689" s="3" t="s">
        <v>1435</v>
      </c>
      <c r="D689" s="3" t="s">
        <v>1436</v>
      </c>
      <c r="E689" s="4">
        <v>6979</v>
      </c>
      <c r="F689" s="3" t="s">
        <v>57</v>
      </c>
      <c r="G689" s="3" t="s">
        <v>27</v>
      </c>
      <c r="H689" s="3" t="str">
        <f>VLOOKUP(B689,'[1]Select territorios'!$C:$L,10,0)</f>
        <v>9.192592</v>
      </c>
      <c r="I689" s="3" t="str">
        <f>VLOOKUP(B689,'[1]Select territorios'!$C:$M,11,0)</f>
        <v>-73.547003</v>
      </c>
      <c r="J689" s="5" t="s">
        <v>58</v>
      </c>
      <c r="K689" s="5">
        <v>1193146338</v>
      </c>
      <c r="L689" s="5">
        <v>3202114923</v>
      </c>
      <c r="M689" s="5" t="s">
        <v>59</v>
      </c>
    </row>
    <row r="690" spans="1:13" ht="15.75" x14ac:dyDescent="0.25">
      <c r="A690" s="3">
        <v>6971</v>
      </c>
      <c r="B690" s="3">
        <v>47791</v>
      </c>
      <c r="C690" s="3" t="s">
        <v>1437</v>
      </c>
      <c r="D690" s="3" t="s">
        <v>1438</v>
      </c>
      <c r="E690" s="4">
        <v>42463</v>
      </c>
      <c r="F690" s="3" t="s">
        <v>377</v>
      </c>
      <c r="G690" s="3" t="s">
        <v>27</v>
      </c>
      <c r="H690" s="3" t="str">
        <f>VLOOKUP(B690,'[1]Select territorios'!$C:$L,10,0)</f>
        <v>10.031562</v>
      </c>
      <c r="I690" s="3" t="str">
        <f>VLOOKUP(B690,'[1]Select territorios'!$C:$M,11,0)</f>
        <v>-73.241331</v>
      </c>
      <c r="J690" s="5" t="s">
        <v>58</v>
      </c>
      <c r="K690" s="5">
        <v>1193146338</v>
      </c>
      <c r="L690" s="5">
        <v>3202114923</v>
      </c>
      <c r="M690" s="5" t="s">
        <v>59</v>
      </c>
    </row>
    <row r="691" spans="1:13" ht="15.75" x14ac:dyDescent="0.25">
      <c r="A691" s="3">
        <v>6971</v>
      </c>
      <c r="B691" s="3">
        <v>47792</v>
      </c>
      <c r="C691" s="3" t="s">
        <v>1439</v>
      </c>
      <c r="D691" s="3" t="s">
        <v>1440</v>
      </c>
      <c r="E691" s="4">
        <v>44806</v>
      </c>
      <c r="F691" s="3" t="s">
        <v>326</v>
      </c>
      <c r="G691" s="3" t="s">
        <v>27</v>
      </c>
      <c r="H691" s="3" t="str">
        <f>VLOOKUP(B691,'[1]Select territorios'!$C:$L,10,0)</f>
        <v>10.354601</v>
      </c>
      <c r="I691" s="3" t="str">
        <f>VLOOKUP(B691,'[1]Select territorios'!$C:$M,11,0)</f>
        <v>-73.05118</v>
      </c>
      <c r="J691" s="5" t="s">
        <v>40</v>
      </c>
      <c r="K691" s="5">
        <v>1003275622</v>
      </c>
      <c r="L691" s="5">
        <v>3218847746</v>
      </c>
      <c r="M691" s="5" t="s">
        <v>41</v>
      </c>
    </row>
    <row r="692" spans="1:13" ht="15.75" x14ac:dyDescent="0.25">
      <c r="A692" s="3">
        <v>6971</v>
      </c>
      <c r="B692" s="3">
        <v>47851</v>
      </c>
      <c r="C692" s="3" t="s">
        <v>1441</v>
      </c>
      <c r="D692" s="3" t="s">
        <v>1442</v>
      </c>
      <c r="E692" s="4">
        <v>44806</v>
      </c>
      <c r="F692" s="3" t="s">
        <v>326</v>
      </c>
      <c r="G692" s="3" t="s">
        <v>27</v>
      </c>
      <c r="H692" s="3" t="str">
        <f>VLOOKUP(B692,'[1]Select territorios'!$C:$L,10,0)</f>
        <v>10.348585</v>
      </c>
      <c r="I692" s="3" t="str">
        <f>VLOOKUP(B692,'[1]Select territorios'!$C:$M,11,0)</f>
        <v>-73.0494316</v>
      </c>
      <c r="J692" s="5" t="s">
        <v>40</v>
      </c>
      <c r="K692" s="5">
        <v>1003275622</v>
      </c>
      <c r="L692" s="5">
        <v>3218847746</v>
      </c>
      <c r="M692" s="5" t="s">
        <v>41</v>
      </c>
    </row>
    <row r="693" spans="1:13" ht="15.75" x14ac:dyDescent="0.25">
      <c r="A693" s="3">
        <v>6971</v>
      </c>
      <c r="B693" s="3">
        <v>47949</v>
      </c>
      <c r="C693" s="3" t="s">
        <v>1443</v>
      </c>
      <c r="D693" s="3" t="s">
        <v>1444</v>
      </c>
      <c r="E693" s="4">
        <v>6985</v>
      </c>
      <c r="F693" s="3" t="s">
        <v>101</v>
      </c>
      <c r="G693" s="3" t="s">
        <v>27</v>
      </c>
      <c r="H693" s="3" t="str">
        <f>VLOOKUP(B693,'[1]Select territorios'!$C:$L,10,0)</f>
        <v>9.573311</v>
      </c>
      <c r="I693" s="3" t="str">
        <f>VLOOKUP(B693,'[1]Select territorios'!$C:$M,11,0)</f>
        <v>-73.331764</v>
      </c>
      <c r="J693" s="5" t="s">
        <v>58</v>
      </c>
      <c r="K693" s="5">
        <v>1193146338</v>
      </c>
      <c r="L693" s="5">
        <v>3202114923</v>
      </c>
      <c r="M693" s="5" t="s">
        <v>59</v>
      </c>
    </row>
    <row r="694" spans="1:13" ht="15.75" x14ac:dyDescent="0.25">
      <c r="A694" s="3">
        <v>6971</v>
      </c>
      <c r="B694" s="3">
        <v>47950</v>
      </c>
      <c r="C694" s="3" t="s">
        <v>1445</v>
      </c>
      <c r="D694" s="3" t="s">
        <v>1446</v>
      </c>
      <c r="E694" s="4">
        <v>6974</v>
      </c>
      <c r="F694" s="3" t="s">
        <v>123</v>
      </c>
      <c r="G694" s="3" t="s">
        <v>27</v>
      </c>
      <c r="H694" s="3" t="str">
        <f>VLOOKUP(B694,'[1]Select territorios'!$C:$L,10,0)</f>
        <v>9.70369</v>
      </c>
      <c r="I694" s="3" t="str">
        <f>VLOOKUP(B694,'[1]Select territorios'!$C:$M,11,0)</f>
        <v>-73.26684</v>
      </c>
      <c r="J694" s="5" t="s">
        <v>58</v>
      </c>
      <c r="K694" s="5">
        <v>1193146338</v>
      </c>
      <c r="L694" s="5">
        <v>3202114923</v>
      </c>
      <c r="M694" s="5" t="s">
        <v>59</v>
      </c>
    </row>
    <row r="695" spans="1:13" ht="15.75" x14ac:dyDescent="0.25">
      <c r="A695" s="3">
        <v>6971</v>
      </c>
      <c r="B695" s="3">
        <v>47916</v>
      </c>
      <c r="C695" s="3" t="s">
        <v>1447</v>
      </c>
      <c r="D695" s="3" t="s">
        <v>1448</v>
      </c>
      <c r="E695" s="4">
        <v>6979</v>
      </c>
      <c r="F695" s="3" t="s">
        <v>57</v>
      </c>
      <c r="G695" s="3" t="s">
        <v>27</v>
      </c>
      <c r="H695" s="3" t="str">
        <f>VLOOKUP(B695,'[1]Select territorios'!$C:$L,10,0)</f>
        <v>9.201965</v>
      </c>
      <c r="I695" s="3" t="str">
        <f>VLOOKUP(B695,'[1]Select territorios'!$C:$M,11,0)</f>
        <v>-73.545452</v>
      </c>
      <c r="J695" s="5" t="s">
        <v>58</v>
      </c>
      <c r="K695" s="5">
        <v>1193146338</v>
      </c>
      <c r="L695" s="5">
        <v>3202114923</v>
      </c>
      <c r="M695" s="5" t="s">
        <v>59</v>
      </c>
    </row>
    <row r="696" spans="1:13" ht="15.75" x14ac:dyDescent="0.25">
      <c r="A696" s="3">
        <v>6971</v>
      </c>
      <c r="B696" s="3">
        <v>47921</v>
      </c>
      <c r="C696" s="3" t="s">
        <v>1449</v>
      </c>
      <c r="D696" s="3" t="s">
        <v>1450</v>
      </c>
      <c r="E696" s="4">
        <v>8560</v>
      </c>
      <c r="F696" s="3" t="s">
        <v>161</v>
      </c>
      <c r="G696" s="3" t="s">
        <v>27</v>
      </c>
      <c r="H696" s="3" t="str">
        <f>VLOOKUP(B696,'[1]Select territorios'!$C:$L,10,0)</f>
        <v>8.31912039</v>
      </c>
      <c r="I696" s="3" t="str">
        <f>VLOOKUP(B696,'[1]Select territorios'!$C:$M,11,0)</f>
        <v>-73.59141701</v>
      </c>
      <c r="J696" s="5" t="s">
        <v>107</v>
      </c>
      <c r="K696" s="5">
        <v>1005281494</v>
      </c>
      <c r="L696" s="5">
        <v>3158541035</v>
      </c>
      <c r="M696" s="5" t="s">
        <v>108</v>
      </c>
    </row>
    <row r="697" spans="1:13" ht="15.75" x14ac:dyDescent="0.25">
      <c r="A697" s="3">
        <v>6971</v>
      </c>
      <c r="B697" s="3">
        <v>47919</v>
      </c>
      <c r="C697" s="3" t="s">
        <v>1451</v>
      </c>
      <c r="D697" s="3" t="s">
        <v>1452</v>
      </c>
      <c r="E697" s="4">
        <v>6981</v>
      </c>
      <c r="F697" s="3" t="s">
        <v>47</v>
      </c>
      <c r="G697" s="3" t="s">
        <v>27</v>
      </c>
      <c r="H697" s="3" t="str">
        <f>VLOOKUP(B697,'[1]Select territorios'!$C:$L,10,0)</f>
        <v>9.6605</v>
      </c>
      <c r="I697" s="3" t="str">
        <f>VLOOKUP(B697,'[1]Select territorios'!$C:$M,11,0)</f>
        <v>-73.7485</v>
      </c>
      <c r="J697" s="5" t="s">
        <v>48</v>
      </c>
      <c r="K697" s="5">
        <v>1064795379</v>
      </c>
      <c r="L697" s="5">
        <v>3104688587</v>
      </c>
      <c r="M697" s="5" t="s">
        <v>49</v>
      </c>
    </row>
    <row r="698" spans="1:13" ht="15.75" x14ac:dyDescent="0.25">
      <c r="A698" s="3">
        <v>6971</v>
      </c>
      <c r="B698" s="3">
        <v>47932</v>
      </c>
      <c r="C698" s="3" t="s">
        <v>1453</v>
      </c>
      <c r="D698" s="3" t="s">
        <v>1454</v>
      </c>
      <c r="E698" s="4">
        <v>6985</v>
      </c>
      <c r="F698" s="3" t="s">
        <v>101</v>
      </c>
      <c r="G698" s="3" t="s">
        <v>27</v>
      </c>
      <c r="H698" s="3" t="str">
        <f>VLOOKUP(B698,'[1]Select territorios'!$C:$L,10,0)</f>
        <v>9.567768</v>
      </c>
      <c r="I698" s="3" t="str">
        <f>VLOOKUP(B698,'[1]Select territorios'!$C:$M,11,0)</f>
        <v>-73.3432</v>
      </c>
      <c r="J698" s="5" t="s">
        <v>58</v>
      </c>
      <c r="K698" s="5">
        <v>1193146338</v>
      </c>
      <c r="L698" s="5">
        <v>3202114923</v>
      </c>
      <c r="M698" s="5" t="s">
        <v>59</v>
      </c>
    </row>
    <row r="699" spans="1:13" ht="15.75" x14ac:dyDescent="0.25">
      <c r="A699" s="3">
        <v>6971</v>
      </c>
      <c r="B699" s="3">
        <v>47934</v>
      </c>
      <c r="C699" s="3" t="s">
        <v>1455</v>
      </c>
      <c r="D699" s="3" t="s">
        <v>1456</v>
      </c>
      <c r="E699" s="4">
        <v>6976</v>
      </c>
      <c r="F699" s="3" t="s">
        <v>96</v>
      </c>
      <c r="G699" s="3" t="s">
        <v>27</v>
      </c>
      <c r="H699" s="3" t="str">
        <f>VLOOKUP(B699,'[1]Select territorios'!$C:$L,10,0)</f>
        <v>9.2591</v>
      </c>
      <c r="I699" s="3" t="str">
        <f>VLOOKUP(B699,'[1]Select territorios'!$C:$M,11,0)</f>
        <v>-73.8143</v>
      </c>
      <c r="J699" s="5" t="s">
        <v>48</v>
      </c>
      <c r="K699" s="5">
        <v>1064795379</v>
      </c>
      <c r="L699" s="5">
        <v>3104688587</v>
      </c>
      <c r="M699" s="5" t="s">
        <v>49</v>
      </c>
    </row>
    <row r="700" spans="1:13" ht="15.75" x14ac:dyDescent="0.25">
      <c r="A700" s="3">
        <v>6971</v>
      </c>
      <c r="B700" s="3">
        <v>47910</v>
      </c>
      <c r="C700" s="3" t="s">
        <v>1457</v>
      </c>
      <c r="D700" s="3" t="s">
        <v>1209</v>
      </c>
      <c r="E700" s="4">
        <v>6991</v>
      </c>
      <c r="F700" s="3" t="s">
        <v>70</v>
      </c>
      <c r="G700" s="3" t="s">
        <v>27</v>
      </c>
      <c r="H700" s="3" t="str">
        <f>VLOOKUP(B700,'[1]Select territorios'!$C:$L,10,0)</f>
        <v>8.6892</v>
      </c>
      <c r="I700" s="3" t="str">
        <f>VLOOKUP(B700,'[1]Select territorios'!$C:$M,11,0)</f>
        <v>-73.6724</v>
      </c>
      <c r="J700" s="5" t="s">
        <v>71</v>
      </c>
      <c r="K700" s="5">
        <v>1065818056</v>
      </c>
      <c r="L700" s="5">
        <v>3145467066</v>
      </c>
      <c r="M700" s="5" t="s">
        <v>72</v>
      </c>
    </row>
    <row r="701" spans="1:13" ht="15.75" x14ac:dyDescent="0.25">
      <c r="A701" s="3">
        <v>6971</v>
      </c>
      <c r="B701" s="3">
        <v>47907</v>
      </c>
      <c r="C701" s="3" t="s">
        <v>1458</v>
      </c>
      <c r="D701" s="3" t="s">
        <v>1459</v>
      </c>
      <c r="E701" s="4">
        <v>6984</v>
      </c>
      <c r="F701" s="3" t="s">
        <v>75</v>
      </c>
      <c r="G701" s="3" t="s">
        <v>27</v>
      </c>
      <c r="H701" s="3" t="str">
        <f>VLOOKUP(B701,'[1]Select territorios'!$C:$L,10,0)</f>
        <v>8.6209</v>
      </c>
      <c r="I701" s="3" t="str">
        <f>VLOOKUP(B701,'[1]Select territorios'!$C:$M,11,0)</f>
        <v>-73.8006</v>
      </c>
      <c r="J701" s="5" t="s">
        <v>71</v>
      </c>
      <c r="K701" s="5">
        <v>1065818056</v>
      </c>
      <c r="L701" s="5">
        <v>3145467066</v>
      </c>
      <c r="M701" s="5" t="s">
        <v>72</v>
      </c>
    </row>
    <row r="702" spans="1:13" ht="15.75" x14ac:dyDescent="0.25">
      <c r="A702" s="3">
        <v>6971</v>
      </c>
      <c r="B702" s="3">
        <v>47952</v>
      </c>
      <c r="C702" s="3" t="s">
        <v>1460</v>
      </c>
      <c r="D702" s="3" t="s">
        <v>1461</v>
      </c>
      <c r="E702" s="4">
        <v>6974</v>
      </c>
      <c r="F702" s="3" t="s">
        <v>123</v>
      </c>
      <c r="G702" s="3" t="s">
        <v>27</v>
      </c>
      <c r="H702" s="3" t="str">
        <f>VLOOKUP(B702,'[1]Select territorios'!$C:$L,10,0)</f>
        <v>9.70167</v>
      </c>
      <c r="I702" s="3" t="str">
        <f>VLOOKUP(B702,'[1]Select territorios'!$C:$M,11,0)</f>
        <v>-73.27481</v>
      </c>
      <c r="J702" s="5" t="s">
        <v>58</v>
      </c>
      <c r="K702" s="5">
        <v>1193146338</v>
      </c>
      <c r="L702" s="5">
        <v>3202114923</v>
      </c>
      <c r="M702" s="5" t="s">
        <v>59</v>
      </c>
    </row>
    <row r="703" spans="1:13" ht="15.75" x14ac:dyDescent="0.25">
      <c r="A703" s="3">
        <v>6971</v>
      </c>
      <c r="B703" s="3">
        <v>47962</v>
      </c>
      <c r="C703" s="3" t="s">
        <v>1462</v>
      </c>
      <c r="D703" s="3" t="s">
        <v>1463</v>
      </c>
      <c r="E703" s="4">
        <v>8562</v>
      </c>
      <c r="F703" s="3" t="s">
        <v>213</v>
      </c>
      <c r="G703" s="3" t="s">
        <v>27</v>
      </c>
      <c r="H703" s="3" t="str">
        <f>VLOOKUP(B703,'[1]Select territorios'!$C:$L,10,0)</f>
        <v>8.297917</v>
      </c>
      <c r="I703" s="3" t="str">
        <f>VLOOKUP(B703,'[1]Select territorios'!$C:$M,11,0)</f>
        <v>-73.623716</v>
      </c>
      <c r="J703" s="5" t="s">
        <v>71</v>
      </c>
      <c r="K703" s="5">
        <v>1065818056</v>
      </c>
      <c r="L703" s="5">
        <v>3145467066</v>
      </c>
      <c r="M703" s="5" t="s">
        <v>72</v>
      </c>
    </row>
    <row r="704" spans="1:13" ht="15.75" x14ac:dyDescent="0.25">
      <c r="A704" s="3">
        <v>6971</v>
      </c>
      <c r="B704" s="3">
        <v>47960</v>
      </c>
      <c r="C704" s="3" t="s">
        <v>1464</v>
      </c>
      <c r="D704" s="3" t="s">
        <v>1465</v>
      </c>
      <c r="E704" s="4">
        <v>7001</v>
      </c>
      <c r="F704" s="3" t="s">
        <v>55</v>
      </c>
      <c r="G704" s="3" t="s">
        <v>27</v>
      </c>
      <c r="H704" s="3" t="str">
        <f>VLOOKUP(B704,'[1]Select territorios'!$C:$L,10,0)</f>
        <v>10.46446439</v>
      </c>
      <c r="I704" s="3" t="str">
        <f>VLOOKUP(B704,'[1]Select territorios'!$C:$M,11,0)</f>
        <v>-73.25086015</v>
      </c>
      <c r="J704" s="5" t="s">
        <v>23</v>
      </c>
      <c r="K704" s="5">
        <v>1065600058</v>
      </c>
      <c r="L704" s="5">
        <v>3123009293</v>
      </c>
      <c r="M704" s="5" t="s">
        <v>24</v>
      </c>
    </row>
    <row r="705" spans="1:13" ht="15.75" x14ac:dyDescent="0.25">
      <c r="A705" s="3">
        <v>6971</v>
      </c>
      <c r="B705" s="3">
        <v>47971</v>
      </c>
      <c r="C705" s="3" t="s">
        <v>1466</v>
      </c>
      <c r="D705" s="3" t="s">
        <v>1467</v>
      </c>
      <c r="E705" s="4">
        <v>6986</v>
      </c>
      <c r="F705" s="3" t="s">
        <v>294</v>
      </c>
      <c r="G705" s="3" t="s">
        <v>27</v>
      </c>
      <c r="H705" s="3" t="str">
        <f>VLOOKUP(B705,'[1]Select territorios'!$C:$L,10,0)</f>
        <v>9.1699</v>
      </c>
      <c r="I705" s="3" t="str">
        <f>VLOOKUP(B705,'[1]Select territorios'!$C:$M,11,0)</f>
        <v>-73.5934</v>
      </c>
      <c r="J705" s="5" t="s">
        <v>48</v>
      </c>
      <c r="K705" s="5">
        <v>1064795379</v>
      </c>
      <c r="L705" s="5">
        <v>3104688587</v>
      </c>
      <c r="M705" s="5" t="s">
        <v>49</v>
      </c>
    </row>
    <row r="706" spans="1:13" ht="15.75" x14ac:dyDescent="0.25">
      <c r="A706" s="3">
        <v>6971</v>
      </c>
      <c r="B706" s="3">
        <v>47964</v>
      </c>
      <c r="C706" s="3" t="s">
        <v>1468</v>
      </c>
      <c r="D706" s="3" t="s">
        <v>1469</v>
      </c>
      <c r="E706" s="4">
        <v>8560</v>
      </c>
      <c r="F706" s="3" t="s">
        <v>161</v>
      </c>
      <c r="G706" s="3" t="s">
        <v>27</v>
      </c>
      <c r="H706" s="3" t="str">
        <f>VLOOKUP(B706,'[1]Select territorios'!$C:$L,10,0)</f>
        <v>8.3189764</v>
      </c>
      <c r="I706" s="3" t="str">
        <f>VLOOKUP(B706,'[1]Select territorios'!$C:$M,11,0)</f>
        <v>-73.58733328</v>
      </c>
      <c r="J706" s="5" t="s">
        <v>107</v>
      </c>
      <c r="K706" s="5">
        <v>1005281494</v>
      </c>
      <c r="L706" s="5">
        <v>3158541035</v>
      </c>
      <c r="M706" s="5" t="s">
        <v>108</v>
      </c>
    </row>
    <row r="707" spans="1:13" ht="15.75" x14ac:dyDescent="0.25">
      <c r="A707" s="3">
        <v>6971</v>
      </c>
      <c r="B707" s="3">
        <v>45216</v>
      </c>
      <c r="C707" s="3" t="s">
        <v>1470</v>
      </c>
      <c r="D707" s="3" t="s">
        <v>1471</v>
      </c>
      <c r="E707" s="4">
        <v>6981</v>
      </c>
      <c r="F707" s="3" t="s">
        <v>47</v>
      </c>
      <c r="G707" s="3" t="s">
        <v>27</v>
      </c>
      <c r="H707" s="3" t="str">
        <f>VLOOKUP(B707,'[1]Select territorios'!$C:$L,10,0)</f>
        <v>9.6712</v>
      </c>
      <c r="I707" s="3" t="str">
        <f>VLOOKUP(B707,'[1]Select territorios'!$C:$M,11,0)</f>
        <v>-73.6894</v>
      </c>
      <c r="J707" s="5" t="s">
        <v>48</v>
      </c>
      <c r="K707" s="5">
        <v>1064795379</v>
      </c>
      <c r="L707" s="5">
        <v>3104688587</v>
      </c>
      <c r="M707" s="5" t="s">
        <v>49</v>
      </c>
    </row>
    <row r="708" spans="1:13" ht="15.75" x14ac:dyDescent="0.25">
      <c r="A708" s="3">
        <v>6971</v>
      </c>
      <c r="B708" s="3">
        <v>250018</v>
      </c>
      <c r="C708" s="3" t="s">
        <v>1472</v>
      </c>
      <c r="D708" s="3" t="s">
        <v>1473</v>
      </c>
      <c r="E708" s="4">
        <v>6979</v>
      </c>
      <c r="F708" s="3" t="s">
        <v>57</v>
      </c>
      <c r="G708" s="3" t="s">
        <v>27</v>
      </c>
      <c r="H708" s="3" t="str">
        <f>VLOOKUP(B708,'[1]Select territorios'!$C:$L,10,0)</f>
        <v>9.192903</v>
      </c>
      <c r="I708" s="3" t="str">
        <f>VLOOKUP(B708,'[1]Select territorios'!$C:$M,11,0)</f>
        <v>-73.545590</v>
      </c>
      <c r="J708" s="5" t="s">
        <v>58</v>
      </c>
      <c r="K708" s="5">
        <v>1193146338</v>
      </c>
      <c r="L708" s="5">
        <v>3202114923</v>
      </c>
      <c r="M708" s="5" t="s">
        <v>59</v>
      </c>
    </row>
    <row r="709" spans="1:13" ht="15.75" x14ac:dyDescent="0.25">
      <c r="A709" s="3">
        <v>6971</v>
      </c>
      <c r="B709" s="3">
        <v>250037</v>
      </c>
      <c r="C709" s="3" t="s">
        <v>1474</v>
      </c>
      <c r="D709" s="3" t="s">
        <v>1475</v>
      </c>
      <c r="E709" s="4">
        <v>6979</v>
      </c>
      <c r="F709" s="3" t="s">
        <v>57</v>
      </c>
      <c r="G709" s="3" t="s">
        <v>27</v>
      </c>
      <c r="H709" s="3" t="str">
        <f>VLOOKUP(B709,'[1]Select territorios'!$C:$L,10,0)</f>
        <v>9.207202</v>
      </c>
      <c r="I709" s="3" t="str">
        <f>VLOOKUP(B709,'[1]Select territorios'!$C:$M,11,0)</f>
        <v>-73.537423</v>
      </c>
      <c r="J709" s="5" t="s">
        <v>58</v>
      </c>
      <c r="K709" s="5">
        <v>1193146338</v>
      </c>
      <c r="L709" s="5">
        <v>3202114923</v>
      </c>
      <c r="M709" s="5" t="s">
        <v>59</v>
      </c>
    </row>
    <row r="710" spans="1:13" ht="15.75" x14ac:dyDescent="0.25">
      <c r="A710" s="3">
        <v>6971</v>
      </c>
      <c r="B710" s="3">
        <v>250003</v>
      </c>
      <c r="C710" s="3" t="s">
        <v>1476</v>
      </c>
      <c r="D710" s="3" t="s">
        <v>1477</v>
      </c>
      <c r="E710" s="4">
        <v>9206</v>
      </c>
      <c r="F710" s="3" t="s">
        <v>33</v>
      </c>
      <c r="G710" s="3" t="s">
        <v>27</v>
      </c>
      <c r="H710" s="3" t="str">
        <f>VLOOKUP(B710,'[1]Select territorios'!$C:$L,10,0)</f>
        <v>10.455593</v>
      </c>
      <c r="I710" s="3" t="str">
        <f>VLOOKUP(B710,'[1]Select territorios'!$C:$M,11,0)</f>
        <v>-73.267678</v>
      </c>
      <c r="J710" s="5" t="s">
        <v>17</v>
      </c>
      <c r="K710" s="5">
        <v>15173890</v>
      </c>
      <c r="L710" s="5">
        <v>3002039991</v>
      </c>
      <c r="M710" s="5" t="s">
        <v>18</v>
      </c>
    </row>
    <row r="711" spans="1:13" ht="15.75" x14ac:dyDescent="0.25">
      <c r="A711" s="3">
        <v>6971</v>
      </c>
      <c r="B711" s="3">
        <v>250020</v>
      </c>
      <c r="C711" s="3" t="s">
        <v>1478</v>
      </c>
      <c r="D711" s="3" t="s">
        <v>1479</v>
      </c>
      <c r="E711" s="4">
        <v>6977</v>
      </c>
      <c r="F711" s="3" t="s">
        <v>52</v>
      </c>
      <c r="G711" s="3" t="s">
        <v>1480</v>
      </c>
      <c r="H711" s="3" t="str">
        <f>VLOOKUP(B711,'[1]Select territorios'!$C:$L,10,0)</f>
        <v>9.359290</v>
      </c>
      <c r="I711" s="3" t="str">
        <f>VLOOKUP(B711,'[1]Select territorios'!$C:$M,11,0)</f>
        <v>-73.601354</v>
      </c>
      <c r="J711" s="5" t="s">
        <v>48</v>
      </c>
      <c r="K711" s="5">
        <v>1064795379</v>
      </c>
      <c r="L711" s="5">
        <v>3104688587</v>
      </c>
      <c r="M711" s="5" t="s">
        <v>49</v>
      </c>
    </row>
    <row r="712" spans="1:13" ht="15.75" x14ac:dyDescent="0.25">
      <c r="A712" s="3">
        <v>6971</v>
      </c>
      <c r="B712" s="3">
        <v>250016</v>
      </c>
      <c r="C712" s="3" t="s">
        <v>1481</v>
      </c>
      <c r="D712" s="3" t="s">
        <v>1482</v>
      </c>
      <c r="E712" s="4">
        <v>6980</v>
      </c>
      <c r="F712" s="3" t="s">
        <v>384</v>
      </c>
      <c r="G712" s="3" t="s">
        <v>27</v>
      </c>
      <c r="H712" s="3" t="str">
        <f>VLOOKUP(B712,'[1]Select territorios'!$C:$L,10,0)</f>
        <v>1.015575</v>
      </c>
      <c r="I712" s="3" t="str">
        <f>VLOOKUP(B712,'[1]Select territorios'!$C:$M,11,0)</f>
        <v>-73.95752</v>
      </c>
      <c r="J712" s="5" t="s">
        <v>48</v>
      </c>
      <c r="K712" s="5">
        <v>1064795379</v>
      </c>
      <c r="L712" s="5">
        <v>3104688587</v>
      </c>
      <c r="M712" s="5" t="s">
        <v>49</v>
      </c>
    </row>
    <row r="713" spans="1:13" ht="15.75" x14ac:dyDescent="0.25">
      <c r="A713" s="3">
        <v>6971</v>
      </c>
      <c r="B713" s="3">
        <v>250022</v>
      </c>
      <c r="C713" s="3" t="s">
        <v>1483</v>
      </c>
      <c r="D713" s="3" t="s">
        <v>1484</v>
      </c>
      <c r="E713" s="4">
        <v>42463</v>
      </c>
      <c r="F713" s="3" t="s">
        <v>377</v>
      </c>
      <c r="G713" s="3" t="s">
        <v>27</v>
      </c>
      <c r="H713" s="3" t="str">
        <f>VLOOKUP(B713,'[1]Select territorios'!$C:$L,10,0)</f>
        <v>10.028012</v>
      </c>
      <c r="I713" s="3" t="str">
        <f>VLOOKUP(B713,'[1]Select territorios'!$C:$M,11,0)</f>
        <v>-73.230231</v>
      </c>
      <c r="J713" s="5" t="s">
        <v>58</v>
      </c>
      <c r="K713" s="5">
        <v>1193146338</v>
      </c>
      <c r="L713" s="5">
        <v>3202114923</v>
      </c>
      <c r="M713" s="5" t="s">
        <v>59</v>
      </c>
    </row>
    <row r="714" spans="1:13" ht="15.75" x14ac:dyDescent="0.25">
      <c r="A714" s="3">
        <v>6971</v>
      </c>
      <c r="B714" s="3">
        <v>250004</v>
      </c>
      <c r="C714" s="3" t="s">
        <v>1485</v>
      </c>
      <c r="D714" s="3" t="s">
        <v>1486</v>
      </c>
      <c r="E714" s="4">
        <v>6991</v>
      </c>
      <c r="F714" s="3" t="s">
        <v>70</v>
      </c>
      <c r="G714" s="3" t="s">
        <v>27</v>
      </c>
      <c r="H714" s="3" t="str">
        <f>VLOOKUP(B714,'[1]Select territorios'!$C:$L,10,0)</f>
        <v>8.7338</v>
      </c>
      <c r="I714" s="3" t="str">
        <f>VLOOKUP(B714,'[1]Select territorios'!$C:$M,11,0)</f>
        <v>-73.7240</v>
      </c>
      <c r="J714" s="5" t="s">
        <v>71</v>
      </c>
      <c r="K714" s="5">
        <v>1065818056</v>
      </c>
      <c r="L714" s="5">
        <v>3145467066</v>
      </c>
      <c r="M714" s="5" t="s">
        <v>72</v>
      </c>
    </row>
    <row r="715" spans="1:13" ht="15.75" x14ac:dyDescent="0.25">
      <c r="A715" s="3">
        <v>6971</v>
      </c>
      <c r="B715" s="3">
        <v>250072</v>
      </c>
      <c r="C715" s="3" t="s">
        <v>1487</v>
      </c>
      <c r="D715" s="3" t="s">
        <v>1488</v>
      </c>
      <c r="E715" s="4">
        <v>6973</v>
      </c>
      <c r="F715" s="3" t="s">
        <v>128</v>
      </c>
      <c r="G715" s="3" t="s">
        <v>27</v>
      </c>
      <c r="H715" s="3" t="str">
        <f>VLOOKUP(B715,'[1]Select territorios'!$C:$L,10,0)</f>
        <v>9.553118</v>
      </c>
      <c r="I715" s="3" t="str">
        <f>VLOOKUP(B715,'[1]Select territorios'!$C:$M,11,0)</f>
        <v>-73.042851</v>
      </c>
      <c r="J715" s="5" t="s">
        <v>48</v>
      </c>
      <c r="K715" s="5">
        <v>1064795379</v>
      </c>
      <c r="L715" s="5">
        <v>3104688587</v>
      </c>
      <c r="M715" s="5" t="s">
        <v>49</v>
      </c>
    </row>
    <row r="716" spans="1:13" ht="15.75" x14ac:dyDescent="0.25">
      <c r="A716" s="3">
        <v>6971</v>
      </c>
      <c r="B716" s="3">
        <v>250033</v>
      </c>
      <c r="C716" s="3" t="s">
        <v>1489</v>
      </c>
      <c r="D716" s="3" t="s">
        <v>1490</v>
      </c>
      <c r="E716" s="4">
        <v>6998</v>
      </c>
      <c r="F716" s="3" t="s">
        <v>106</v>
      </c>
      <c r="G716" s="3" t="s">
        <v>27</v>
      </c>
      <c r="H716" s="3" t="str">
        <f>VLOOKUP(B716,'[1]Select territorios'!$C:$L,10,0)</f>
        <v>7.854970</v>
      </c>
      <c r="I716" s="3" t="str">
        <f>VLOOKUP(B716,'[1]Select territorios'!$C:$M,11,0)</f>
        <v>-73.550420</v>
      </c>
      <c r="J716" s="5" t="s">
        <v>107</v>
      </c>
      <c r="K716" s="5">
        <v>1005281494</v>
      </c>
      <c r="L716" s="5">
        <v>3158541035</v>
      </c>
      <c r="M716" s="5" t="s">
        <v>108</v>
      </c>
    </row>
    <row r="717" spans="1:13" ht="15.75" x14ac:dyDescent="0.25">
      <c r="A717" s="3">
        <v>6971</v>
      </c>
      <c r="B717" s="3">
        <v>250088</v>
      </c>
      <c r="C717" s="3" t="s">
        <v>1491</v>
      </c>
      <c r="D717" s="3" t="s">
        <v>1492</v>
      </c>
      <c r="E717" s="4">
        <v>6978</v>
      </c>
      <c r="F717" s="3" t="s">
        <v>91</v>
      </c>
      <c r="G717" s="3" t="s">
        <v>27</v>
      </c>
      <c r="H717" s="3" t="str">
        <f>VLOOKUP(B717,'[1]Select territorios'!$C:$L,10,0)</f>
        <v>10.03914</v>
      </c>
      <c r="I717" s="3" t="str">
        <f>VLOOKUP(B717,'[1]Select territorios'!$C:$M,11,0)</f>
        <v>-73.23790</v>
      </c>
      <c r="J717" s="5" t="s">
        <v>58</v>
      </c>
      <c r="K717" s="5">
        <v>1193146338</v>
      </c>
      <c r="L717" s="5">
        <v>3202114923</v>
      </c>
      <c r="M717" s="5" t="s">
        <v>59</v>
      </c>
    </row>
    <row r="718" spans="1:13" ht="15.75" x14ac:dyDescent="0.25">
      <c r="A718" s="3">
        <v>6971</v>
      </c>
      <c r="B718" s="3">
        <v>250046</v>
      </c>
      <c r="C718" s="3" t="s">
        <v>1493</v>
      </c>
      <c r="D718" s="3" t="s">
        <v>1494</v>
      </c>
      <c r="E718" s="4">
        <v>6977</v>
      </c>
      <c r="F718" s="3" t="s">
        <v>52</v>
      </c>
      <c r="G718" s="3" t="s">
        <v>1480</v>
      </c>
      <c r="H718" s="3" t="str">
        <f>VLOOKUP(B718,'[1]Select territorios'!$C:$L,10,0)</f>
        <v>9.394511</v>
      </c>
      <c r="I718" s="3" t="str">
        <f>VLOOKUP(B718,'[1]Select territorios'!$C:$M,11,0)</f>
        <v>-73.487118</v>
      </c>
      <c r="J718" s="5" t="s">
        <v>48</v>
      </c>
      <c r="K718" s="5">
        <v>1064795379</v>
      </c>
      <c r="L718" s="5">
        <v>3104688587</v>
      </c>
      <c r="M718" s="5" t="s">
        <v>49</v>
      </c>
    </row>
    <row r="719" spans="1:13" ht="15.75" x14ac:dyDescent="0.25">
      <c r="A719" s="3">
        <v>6971</v>
      </c>
      <c r="B719" s="3">
        <v>250295</v>
      </c>
      <c r="C719" s="3" t="s">
        <v>1495</v>
      </c>
      <c r="D719" s="3" t="s">
        <v>1496</v>
      </c>
      <c r="E719" s="4">
        <v>6978</v>
      </c>
      <c r="F719" s="3" t="s">
        <v>91</v>
      </c>
      <c r="G719" s="3" t="s">
        <v>27</v>
      </c>
      <c r="H719" s="3" t="str">
        <f>VLOOKUP(B719,'[1]Select territorios'!$C:$L,10,0)</f>
        <v>10.03801</v>
      </c>
      <c r="I719" s="3" t="str">
        <f>VLOOKUP(B719,'[1]Select territorios'!$C:$M,11,0)</f>
        <v>-73.23181</v>
      </c>
      <c r="J719" s="5" t="s">
        <v>58</v>
      </c>
      <c r="K719" s="5">
        <v>1193146338</v>
      </c>
      <c r="L719" s="5">
        <v>3202114923</v>
      </c>
      <c r="M719" s="5" t="s">
        <v>59</v>
      </c>
    </row>
    <row r="720" spans="1:13" ht="15.75" x14ac:dyDescent="0.25">
      <c r="A720" s="3">
        <v>6971</v>
      </c>
      <c r="B720" s="3">
        <v>250282</v>
      </c>
      <c r="C720" s="3" t="s">
        <v>1497</v>
      </c>
      <c r="D720" s="3" t="s">
        <v>1498</v>
      </c>
      <c r="E720" s="4">
        <v>6988</v>
      </c>
      <c r="F720" s="3" t="s">
        <v>227</v>
      </c>
      <c r="G720" s="3" t="s">
        <v>1480</v>
      </c>
      <c r="H720" s="3" t="str">
        <f>VLOOKUP(B720,'[1]Select territorios'!$C:$L,10,0)</f>
        <v>10.3821</v>
      </c>
      <c r="I720" s="3" t="str">
        <f>VLOOKUP(B720,'[1]Select territorios'!$C:$M,11,0)</f>
        <v>-73.1747</v>
      </c>
      <c r="J720" s="5" t="s">
        <v>23</v>
      </c>
      <c r="K720" s="5">
        <v>1065600058</v>
      </c>
      <c r="L720" s="5">
        <v>3123009293</v>
      </c>
      <c r="M720" s="5" t="s">
        <v>24</v>
      </c>
    </row>
    <row r="721" spans="1:13" ht="15.75" x14ac:dyDescent="0.25">
      <c r="A721" s="3">
        <v>6971</v>
      </c>
      <c r="B721" s="3">
        <v>250297</v>
      </c>
      <c r="C721" s="3" t="s">
        <v>1499</v>
      </c>
      <c r="D721" s="3" t="s">
        <v>1500</v>
      </c>
      <c r="E721" s="4">
        <v>6974</v>
      </c>
      <c r="F721" s="3" t="s">
        <v>123</v>
      </c>
      <c r="G721" s="3" t="s">
        <v>27</v>
      </c>
      <c r="H721" s="3" t="str">
        <f>VLOOKUP(B721,'[1]Select territorios'!$C:$L,10,0)</f>
        <v>9.70431</v>
      </c>
      <c r="I721" s="3" t="str">
        <f>VLOOKUP(B721,'[1]Select territorios'!$C:$M,11,0)</f>
        <v>-73.28525</v>
      </c>
      <c r="J721" s="5" t="s">
        <v>58</v>
      </c>
      <c r="K721" s="5">
        <v>1193146338</v>
      </c>
      <c r="L721" s="5">
        <v>3202114923</v>
      </c>
      <c r="M721" s="5" t="s">
        <v>59</v>
      </c>
    </row>
    <row r="722" spans="1:13" ht="15.75" x14ac:dyDescent="0.25">
      <c r="A722" s="3">
        <v>6971</v>
      </c>
      <c r="B722" s="3">
        <v>250311</v>
      </c>
      <c r="C722" s="3" t="s">
        <v>1501</v>
      </c>
      <c r="D722" s="3" t="s">
        <v>1502</v>
      </c>
      <c r="E722" s="4">
        <v>6985</v>
      </c>
      <c r="F722" s="3" t="s">
        <v>101</v>
      </c>
      <c r="G722" s="3" t="s">
        <v>27</v>
      </c>
      <c r="H722" s="3" t="str">
        <f>VLOOKUP(B722,'[1]Select territorios'!$C:$L,10,0)</f>
        <v>9.570255</v>
      </c>
      <c r="I722" s="3" t="str">
        <f>VLOOKUP(B722,'[1]Select territorios'!$C:$M,11,0)</f>
        <v>-73.32796</v>
      </c>
      <c r="J722" s="5" t="s">
        <v>58</v>
      </c>
      <c r="K722" s="5">
        <v>1193146338</v>
      </c>
      <c r="L722" s="5">
        <v>3202114923</v>
      </c>
      <c r="M722" s="5" t="s">
        <v>59</v>
      </c>
    </row>
    <row r="723" spans="1:13" ht="15.75" x14ac:dyDescent="0.25">
      <c r="A723" s="3">
        <v>6971</v>
      </c>
      <c r="B723" s="3">
        <v>250314</v>
      </c>
      <c r="C723" s="3" t="s">
        <v>1503</v>
      </c>
      <c r="D723" s="3" t="s">
        <v>1504</v>
      </c>
      <c r="E723" s="4">
        <v>6999</v>
      </c>
      <c r="F723" s="3" t="s">
        <v>260</v>
      </c>
      <c r="G723" s="3" t="s">
        <v>1480</v>
      </c>
      <c r="H723" s="3" t="str">
        <f>VLOOKUP(B723,'[1]Select territorios'!$C:$L,10,0)</f>
        <v>8.855755</v>
      </c>
      <c r="I723" s="3" t="str">
        <f>VLOOKUP(B723,'[1]Select territorios'!$C:$M,11,0)</f>
        <v>-73.817898</v>
      </c>
      <c r="J723" s="5" t="s">
        <v>71</v>
      </c>
      <c r="K723" s="5">
        <v>1065818056</v>
      </c>
      <c r="L723" s="5">
        <v>3145467066</v>
      </c>
      <c r="M723" s="5" t="s">
        <v>72</v>
      </c>
    </row>
    <row r="724" spans="1:13" ht="15.75" x14ac:dyDescent="0.25">
      <c r="A724" s="3">
        <v>6971</v>
      </c>
      <c r="B724" s="3">
        <v>250323</v>
      </c>
      <c r="C724" s="3" t="s">
        <v>1505</v>
      </c>
      <c r="D724" s="3" t="s">
        <v>1506</v>
      </c>
      <c r="E724" s="4">
        <v>8560</v>
      </c>
      <c r="F724" s="3" t="s">
        <v>161</v>
      </c>
      <c r="G724" s="3" t="s">
        <v>27</v>
      </c>
      <c r="H724" s="3" t="str">
        <f>VLOOKUP(B724,'[1]Select territorios'!$C:$L,10,0)</f>
        <v>8.32278886</v>
      </c>
      <c r="I724" s="3" t="str">
        <f>VLOOKUP(B724,'[1]Select territorios'!$C:$M,11,0)</f>
        <v>-73.5868193</v>
      </c>
      <c r="J724" s="5" t="s">
        <v>107</v>
      </c>
      <c r="K724" s="5">
        <v>1005281494</v>
      </c>
      <c r="L724" s="5">
        <v>3158541035</v>
      </c>
      <c r="M724" s="5" t="s">
        <v>108</v>
      </c>
    </row>
    <row r="725" spans="1:13" ht="15.75" x14ac:dyDescent="0.25">
      <c r="A725" s="3">
        <v>6971</v>
      </c>
      <c r="B725" s="3">
        <v>250310</v>
      </c>
      <c r="C725" s="3" t="s">
        <v>1507</v>
      </c>
      <c r="D725" s="3" t="s">
        <v>1508</v>
      </c>
      <c r="E725" s="4">
        <v>6978</v>
      </c>
      <c r="F725" s="3" t="s">
        <v>91</v>
      </c>
      <c r="G725" s="3" t="s">
        <v>27</v>
      </c>
      <c r="H725" s="3" t="str">
        <f>VLOOKUP(B725,'[1]Select territorios'!$C:$L,10,0)</f>
        <v>10.03766</v>
      </c>
      <c r="I725" s="3" t="str">
        <f>VLOOKUP(B725,'[1]Select territorios'!$C:$M,11,0)</f>
        <v>-73.23010</v>
      </c>
      <c r="J725" s="5" t="s">
        <v>58</v>
      </c>
      <c r="K725" s="5">
        <v>1193146338</v>
      </c>
      <c r="L725" s="5">
        <v>3202114923</v>
      </c>
      <c r="M725" s="5" t="s">
        <v>59</v>
      </c>
    </row>
    <row r="726" spans="1:13" ht="15.75" x14ac:dyDescent="0.25">
      <c r="A726" s="3">
        <v>6971</v>
      </c>
      <c r="B726" s="3">
        <v>250318</v>
      </c>
      <c r="C726" s="3" t="s">
        <v>1509</v>
      </c>
      <c r="D726" s="3" t="s">
        <v>1510</v>
      </c>
      <c r="E726" s="4">
        <v>6985</v>
      </c>
      <c r="F726" s="3" t="s">
        <v>101</v>
      </c>
      <c r="G726" s="3" t="s">
        <v>27</v>
      </c>
      <c r="H726" s="3" t="str">
        <f>VLOOKUP(B726,'[1]Select territorios'!$C:$L,10,0)</f>
        <v>9.574343</v>
      </c>
      <c r="I726" s="3" t="str">
        <f>VLOOKUP(B726,'[1]Select territorios'!$C:$M,11,0)</f>
        <v>-73.32823</v>
      </c>
      <c r="J726" s="5" t="s">
        <v>58</v>
      </c>
      <c r="K726" s="5">
        <v>1193146338</v>
      </c>
      <c r="L726" s="5">
        <v>3202114923</v>
      </c>
      <c r="M726" s="5" t="s">
        <v>59</v>
      </c>
    </row>
    <row r="727" spans="1:13" ht="15.75" x14ac:dyDescent="0.25">
      <c r="A727" s="3">
        <v>6971</v>
      </c>
      <c r="B727" s="3">
        <v>250319</v>
      </c>
      <c r="C727" s="3" t="s">
        <v>1511</v>
      </c>
      <c r="D727" s="3" t="s">
        <v>1512</v>
      </c>
      <c r="E727" s="4">
        <v>6979</v>
      </c>
      <c r="F727" s="3" t="s">
        <v>57</v>
      </c>
      <c r="G727" s="3" t="s">
        <v>27</v>
      </c>
      <c r="H727" s="3" t="str">
        <f>VLOOKUP(B727,'[1]Select territorios'!$C:$L,10,0)</f>
        <v>9.190895</v>
      </c>
      <c r="I727" s="3" t="str">
        <f>VLOOKUP(B727,'[1]Select territorios'!$C:$M,11,0)</f>
        <v>-73.647922</v>
      </c>
      <c r="J727" s="5" t="s">
        <v>58</v>
      </c>
      <c r="K727" s="5">
        <v>1193146338</v>
      </c>
      <c r="L727" s="5">
        <v>3202114923</v>
      </c>
      <c r="M727" s="5" t="s">
        <v>59</v>
      </c>
    </row>
    <row r="728" spans="1:13" ht="15.75" x14ac:dyDescent="0.25">
      <c r="A728" s="3">
        <v>6971</v>
      </c>
      <c r="B728" s="3">
        <v>250371</v>
      </c>
      <c r="C728" s="3" t="s">
        <v>1513</v>
      </c>
      <c r="D728" s="3" t="s">
        <v>1514</v>
      </c>
      <c r="E728" s="4">
        <v>8553</v>
      </c>
      <c r="F728" s="3" t="s">
        <v>15</v>
      </c>
      <c r="G728" s="3" t="s">
        <v>27</v>
      </c>
      <c r="H728" s="3" t="str">
        <f>VLOOKUP(B728,'[1]Select territorios'!$C:$L,10,0)</f>
        <v>10.48429666</v>
      </c>
      <c r="I728" s="3" t="str">
        <f>VLOOKUP(B728,'[1]Select territorios'!$C:$M,11,0)</f>
        <v>-73.28672499</v>
      </c>
      <c r="J728" s="5" t="s">
        <v>17</v>
      </c>
      <c r="K728" s="5">
        <v>15173890</v>
      </c>
      <c r="L728" s="5">
        <v>3002039991</v>
      </c>
      <c r="M728" s="5" t="s">
        <v>18</v>
      </c>
    </row>
    <row r="729" spans="1:13" ht="15.75" x14ac:dyDescent="0.25">
      <c r="A729" s="3">
        <v>6971</v>
      </c>
      <c r="B729" s="3">
        <v>250392</v>
      </c>
      <c r="C729" s="3" t="s">
        <v>1515</v>
      </c>
      <c r="D729" s="3" t="s">
        <v>1516</v>
      </c>
      <c r="E729" s="4">
        <v>6993</v>
      </c>
      <c r="F729" s="3" t="s">
        <v>370</v>
      </c>
      <c r="G729" s="3" t="s">
        <v>27</v>
      </c>
      <c r="H729" s="3" t="str">
        <f>VLOOKUP(B729,'[1]Select territorios'!$C:$L,10,0)</f>
        <v>10.42059166</v>
      </c>
      <c r="I729" s="3" t="str">
        <f>VLOOKUP(B729,'[1]Select territorios'!$C:$M,11,0)</f>
        <v>-73.57618166</v>
      </c>
      <c r="J729" s="5" t="s">
        <v>40</v>
      </c>
      <c r="K729" s="5">
        <v>1003275622</v>
      </c>
      <c r="L729" s="5">
        <v>3218847746</v>
      </c>
      <c r="M729" s="5" t="s">
        <v>41</v>
      </c>
    </row>
    <row r="730" spans="1:13" ht="15.75" x14ac:dyDescent="0.25">
      <c r="A730" s="3">
        <v>6971</v>
      </c>
      <c r="B730" s="3">
        <v>250398</v>
      </c>
      <c r="C730" s="3" t="s">
        <v>1517</v>
      </c>
      <c r="D730" s="3" t="s">
        <v>1518</v>
      </c>
      <c r="E730" s="4">
        <v>6989</v>
      </c>
      <c r="F730" s="3" t="s">
        <v>39</v>
      </c>
      <c r="G730" s="3" t="s">
        <v>27</v>
      </c>
      <c r="H730" s="3" t="str">
        <f>VLOOKUP(B730,'[1]Select territorios'!$C:$L,10,0)</f>
        <v>10.39193333</v>
      </c>
      <c r="I730" s="3" t="str">
        <f>VLOOKUP(B730,'[1]Select territorios'!$C:$M,11,0)</f>
        <v>-73.02700666</v>
      </c>
      <c r="J730" s="5" t="s">
        <v>40</v>
      </c>
      <c r="K730" s="5">
        <v>1003275622</v>
      </c>
      <c r="L730" s="5">
        <v>3218847746</v>
      </c>
      <c r="M730" s="5" t="s">
        <v>41</v>
      </c>
    </row>
    <row r="731" spans="1:13" ht="15.75" x14ac:dyDescent="0.25">
      <c r="A731" s="3">
        <v>6971</v>
      </c>
      <c r="B731" s="3">
        <v>250372</v>
      </c>
      <c r="C731" s="3" t="s">
        <v>1519</v>
      </c>
      <c r="D731" s="3" t="s">
        <v>1520</v>
      </c>
      <c r="E731" s="4">
        <v>6986</v>
      </c>
      <c r="F731" s="3" t="s">
        <v>294</v>
      </c>
      <c r="G731" s="3" t="s">
        <v>27</v>
      </c>
      <c r="H731" s="3" t="str">
        <f>VLOOKUP(B731,'[1]Select territorios'!$C:$L,10,0)</f>
        <v>9.61551166</v>
      </c>
      <c r="I731" s="3" t="str">
        <f>VLOOKUP(B731,'[1]Select territorios'!$C:$M,11,0)</f>
        <v>-73.60726</v>
      </c>
      <c r="J731" s="5" t="s">
        <v>48</v>
      </c>
      <c r="K731" s="5">
        <v>1064795379</v>
      </c>
      <c r="L731" s="5">
        <v>3104688587</v>
      </c>
      <c r="M731" s="5" t="s">
        <v>49</v>
      </c>
    </row>
    <row r="732" spans="1:13" ht="15.75" x14ac:dyDescent="0.25">
      <c r="A732" s="3">
        <v>6971</v>
      </c>
      <c r="B732" s="3">
        <v>250370</v>
      </c>
      <c r="C732" s="3" t="s">
        <v>1521</v>
      </c>
      <c r="D732" s="3" t="s">
        <v>1522</v>
      </c>
      <c r="E732" s="4">
        <v>6998</v>
      </c>
      <c r="F732" s="3" t="s">
        <v>106</v>
      </c>
      <c r="G732" s="3" t="s">
        <v>27</v>
      </c>
      <c r="H732" s="3" t="str">
        <f>VLOOKUP(B732,'[1]Select territorios'!$C:$L,10,0)</f>
        <v>7.99972833</v>
      </c>
      <c r="I732" s="3" t="str">
        <f>VLOOKUP(B732,'[1]Select territorios'!$C:$M,11,0)</f>
        <v>-73.509066</v>
      </c>
      <c r="J732" s="5" t="s">
        <v>107</v>
      </c>
      <c r="K732" s="5">
        <v>1005281494</v>
      </c>
      <c r="L732" s="5">
        <v>3158541035</v>
      </c>
      <c r="M732" s="5" t="s">
        <v>108</v>
      </c>
    </row>
    <row r="733" spans="1:13" ht="15.75" x14ac:dyDescent="0.25">
      <c r="A733" s="3">
        <v>6971</v>
      </c>
      <c r="B733" s="3">
        <v>250401</v>
      </c>
      <c r="C733" s="3" t="s">
        <v>1523</v>
      </c>
      <c r="D733" s="3" t="s">
        <v>1524</v>
      </c>
      <c r="E733" s="6">
        <v>6984</v>
      </c>
      <c r="F733" s="3" t="s">
        <v>75</v>
      </c>
      <c r="G733" s="3" t="s">
        <v>27</v>
      </c>
      <c r="H733" s="3" t="str">
        <f>VLOOKUP(B733,'[1]Select territorios'!$C:$L,10,0)</f>
        <v>8.6176</v>
      </c>
      <c r="I733" s="3" t="str">
        <f>VLOOKUP(B733,'[1]Select territorios'!$C:$M,11,0)</f>
        <v>-73.8036</v>
      </c>
      <c r="J733" s="5" t="s">
        <v>71</v>
      </c>
      <c r="K733" s="5">
        <v>1065818056</v>
      </c>
      <c r="L733" s="5">
        <v>3145467066</v>
      </c>
      <c r="M733" s="5" t="s">
        <v>72</v>
      </c>
    </row>
    <row r="734" spans="1:13" ht="15.75" x14ac:dyDescent="0.25">
      <c r="A734" s="3">
        <v>6971</v>
      </c>
      <c r="B734" s="3">
        <v>250411</v>
      </c>
      <c r="C734" s="3" t="s">
        <v>1525</v>
      </c>
      <c r="D734" s="3" t="s">
        <v>1526</v>
      </c>
      <c r="E734" s="6">
        <v>6982</v>
      </c>
      <c r="F734" s="3" t="s">
        <v>118</v>
      </c>
      <c r="G734" s="3" t="s">
        <v>27</v>
      </c>
      <c r="H734" s="3" t="str">
        <f>VLOOKUP(B734,'[1]Select territorios'!$C:$L,10,0)</f>
        <v>8.31933</v>
      </c>
      <c r="I734" s="3" t="str">
        <f>VLOOKUP(B734,'[1]Select territorios'!$C:$M,11,0)</f>
        <v>-73.74508</v>
      </c>
      <c r="J734" s="5" t="s">
        <v>107</v>
      </c>
      <c r="K734" s="5">
        <v>1005281494</v>
      </c>
      <c r="L734" s="5">
        <v>3158541035</v>
      </c>
      <c r="M734" s="5" t="s">
        <v>108</v>
      </c>
    </row>
    <row r="735" spans="1:13" ht="15.75" x14ac:dyDescent="0.25">
      <c r="A735" s="3">
        <v>6971</v>
      </c>
      <c r="B735" s="3">
        <v>250477</v>
      </c>
      <c r="C735" s="3" t="s">
        <v>1527</v>
      </c>
      <c r="D735" s="3" t="s">
        <v>1528</v>
      </c>
      <c r="E735" s="6">
        <v>6985</v>
      </c>
      <c r="F735" s="3" t="s">
        <v>101</v>
      </c>
      <c r="G735" s="3" t="s">
        <v>27</v>
      </c>
      <c r="H735" s="3" t="str">
        <f>VLOOKUP(B735,'[1]Select territorios'!$C:$L,10,0)</f>
        <v>9.55437833</v>
      </c>
      <c r="I735" s="3" t="str">
        <f>VLOOKUP(B735,'[1]Select territorios'!$C:$M,11,0)</f>
        <v>-73.33261833</v>
      </c>
      <c r="J735" s="5" t="s">
        <v>58</v>
      </c>
      <c r="K735" s="5">
        <v>1193146338</v>
      </c>
      <c r="L735" s="5">
        <v>3202114923</v>
      </c>
      <c r="M735" s="5" t="s">
        <v>59</v>
      </c>
    </row>
    <row r="736" spans="1:13" ht="15.75" x14ac:dyDescent="0.25">
      <c r="A736" s="3">
        <v>6971</v>
      </c>
      <c r="B736" s="3">
        <v>250482</v>
      </c>
      <c r="C736" s="3" t="s">
        <v>1529</v>
      </c>
      <c r="D736" s="3" t="s">
        <v>1530</v>
      </c>
      <c r="E736" s="6">
        <v>8552</v>
      </c>
      <c r="F736" s="3" t="s">
        <v>30</v>
      </c>
      <c r="G736" s="3" t="s">
        <v>27</v>
      </c>
      <c r="H736" s="3" t="str">
        <f>VLOOKUP(B736,'[1]Select territorios'!$C:$L,10,0)</f>
        <v>10.46077</v>
      </c>
      <c r="I736" s="3" t="str">
        <f>VLOOKUP(B736,'[1]Select territorios'!$C:$M,11,0)</f>
        <v>-73.26175</v>
      </c>
      <c r="J736" s="5" t="s">
        <v>17</v>
      </c>
      <c r="K736" s="5">
        <v>15173890</v>
      </c>
      <c r="L736" s="5">
        <v>3002039991</v>
      </c>
      <c r="M736" s="5" t="s">
        <v>18</v>
      </c>
    </row>
    <row r="737" spans="1:13" ht="15.75" x14ac:dyDescent="0.25">
      <c r="A737" s="3">
        <v>6971</v>
      </c>
      <c r="B737" s="3">
        <v>250479</v>
      </c>
      <c r="C737" s="3" t="s">
        <v>1531</v>
      </c>
      <c r="D737" s="3" t="s">
        <v>1532</v>
      </c>
      <c r="E737" s="6">
        <v>6974</v>
      </c>
      <c r="F737" s="3" t="s">
        <v>123</v>
      </c>
      <c r="G737" s="3" t="s">
        <v>27</v>
      </c>
      <c r="H737" s="3" t="str">
        <f>VLOOKUP(B737,'[1]Select territorios'!$C:$L,10,0)</f>
        <v>9.70453</v>
      </c>
      <c r="I737" s="3" t="str">
        <f>VLOOKUP(B737,'[1]Select territorios'!$C:$M,11,0)</f>
        <v>-73.27680</v>
      </c>
      <c r="J737" s="5" t="s">
        <v>58</v>
      </c>
      <c r="K737" s="5">
        <v>1193146338</v>
      </c>
      <c r="L737" s="5">
        <v>3202114923</v>
      </c>
      <c r="M737" s="5" t="s">
        <v>59</v>
      </c>
    </row>
    <row r="738" spans="1:13" ht="15.75" x14ac:dyDescent="0.25">
      <c r="A738" s="3">
        <v>6971</v>
      </c>
      <c r="B738" s="3">
        <v>300053</v>
      </c>
      <c r="C738" s="3" t="s">
        <v>1533</v>
      </c>
      <c r="D738" s="3" t="s">
        <v>1534</v>
      </c>
      <c r="E738" s="6">
        <v>6985</v>
      </c>
      <c r="F738" s="3" t="s">
        <v>101</v>
      </c>
      <c r="G738" s="3" t="s">
        <v>27</v>
      </c>
      <c r="H738" s="3" t="str">
        <f>VLOOKUP(B738,'[1]Select territorios'!$C:$L,10,0)</f>
        <v>9.566661</v>
      </c>
      <c r="I738" s="3" t="str">
        <f>VLOOKUP(B738,'[1]Select territorios'!$C:$M,11,0)</f>
        <v>-73.34022349</v>
      </c>
      <c r="J738" s="5" t="s">
        <v>58</v>
      </c>
      <c r="K738" s="5">
        <v>1193146338</v>
      </c>
      <c r="L738" s="5">
        <v>3202114923</v>
      </c>
      <c r="M738" s="5" t="s">
        <v>59</v>
      </c>
    </row>
    <row r="739" spans="1:13" ht="15.75" x14ac:dyDescent="0.25">
      <c r="A739" s="3">
        <v>6971</v>
      </c>
      <c r="B739" s="3">
        <v>300007</v>
      </c>
      <c r="C739" s="3" t="s">
        <v>1535</v>
      </c>
      <c r="D739" s="3" t="s">
        <v>1536</v>
      </c>
      <c r="E739" s="6">
        <v>6999</v>
      </c>
      <c r="F739" s="3" t="s">
        <v>260</v>
      </c>
      <c r="G739" s="3" t="s">
        <v>1480</v>
      </c>
      <c r="H739" s="3" t="str">
        <f>VLOOKUP(B739,'[1]Select territorios'!$C:$L,10,0)</f>
        <v>9.005770</v>
      </c>
      <c r="I739" s="3" t="str">
        <f>VLOOKUP(B739,'[1]Select territorios'!$C:$M,11,0)</f>
        <v>-73.755616</v>
      </c>
      <c r="J739" s="5" t="s">
        <v>71</v>
      </c>
      <c r="K739" s="5">
        <v>1065818056</v>
      </c>
      <c r="L739" s="5">
        <v>3145467066</v>
      </c>
      <c r="M739" s="5" t="s">
        <v>72</v>
      </c>
    </row>
    <row r="740" spans="1:13" ht="15.75" x14ac:dyDescent="0.25">
      <c r="A740" s="3">
        <v>6971</v>
      </c>
      <c r="B740" s="3">
        <v>300055</v>
      </c>
      <c r="C740" s="3" t="s">
        <v>1537</v>
      </c>
      <c r="D740" s="3" t="s">
        <v>1538</v>
      </c>
      <c r="E740" s="6">
        <v>6974</v>
      </c>
      <c r="F740" s="3" t="s">
        <v>123</v>
      </c>
      <c r="G740" s="3" t="s">
        <v>27</v>
      </c>
      <c r="H740" s="3" t="str">
        <f>VLOOKUP(B740,'[1]Select territorios'!$C:$L,10,0)</f>
        <v>9.005770</v>
      </c>
      <c r="I740" s="3" t="str">
        <f>VLOOKUP(B740,'[1]Select territorios'!$C:$M,11,0)</f>
        <v>-73.755616</v>
      </c>
      <c r="J740" s="5" t="s">
        <v>58</v>
      </c>
      <c r="K740" s="5">
        <v>1193146338</v>
      </c>
      <c r="L740" s="5">
        <v>3202114923</v>
      </c>
      <c r="M740" s="5" t="s">
        <v>59</v>
      </c>
    </row>
    <row r="741" spans="1:13" ht="15.75" x14ac:dyDescent="0.25">
      <c r="A741" s="3">
        <v>6971</v>
      </c>
      <c r="B741" s="3">
        <v>300049</v>
      </c>
      <c r="C741" s="3" t="s">
        <v>1539</v>
      </c>
      <c r="D741" s="3" t="s">
        <v>1540</v>
      </c>
      <c r="E741" s="6">
        <v>6975</v>
      </c>
      <c r="F741" s="3" t="s">
        <v>78</v>
      </c>
      <c r="G741" s="3" t="s">
        <v>27</v>
      </c>
      <c r="H741" s="3" t="str">
        <f>VLOOKUP(B741,'[1]Select territorios'!$C:$L,10,0)</f>
        <v>9.96236333</v>
      </c>
      <c r="I741" s="3" t="str">
        <f>VLOOKUP(B741,'[1]Select territorios'!$C:$M,11,0)</f>
        <v>-73.679466</v>
      </c>
      <c r="J741" s="5" t="s">
        <v>48</v>
      </c>
      <c r="K741" s="5">
        <v>1064795379</v>
      </c>
      <c r="L741" s="5">
        <v>3104688587</v>
      </c>
      <c r="M741" s="5" t="s">
        <v>49</v>
      </c>
    </row>
    <row r="742" spans="1:13" ht="15.75" x14ac:dyDescent="0.25">
      <c r="A742" s="3">
        <v>6971</v>
      </c>
      <c r="B742" s="3">
        <v>300015</v>
      </c>
      <c r="C742" s="3" t="s">
        <v>1541</v>
      </c>
      <c r="D742" s="3" t="s">
        <v>1542</v>
      </c>
      <c r="E742" s="6">
        <v>6997</v>
      </c>
      <c r="F742" s="3" t="s">
        <v>88</v>
      </c>
      <c r="G742" s="3" t="s">
        <v>1480</v>
      </c>
      <c r="H742" s="3" t="str">
        <f>VLOOKUP(B742,'[1]Select territorios'!$C:$L,10,0)</f>
        <v>10.336823</v>
      </c>
      <c r="I742" s="3" t="str">
        <f>VLOOKUP(B742,'[1]Select territorios'!$C:$M,11,0)</f>
        <v>-73.182213</v>
      </c>
      <c r="J742" s="5" t="s">
        <v>17</v>
      </c>
      <c r="K742" s="5">
        <v>15173890</v>
      </c>
      <c r="L742" s="5">
        <v>3002039991</v>
      </c>
      <c r="M742" s="5" t="s">
        <v>18</v>
      </c>
    </row>
    <row r="743" spans="1:13" ht="15.75" x14ac:dyDescent="0.25">
      <c r="A743" s="3">
        <v>6971</v>
      </c>
      <c r="B743" s="3">
        <v>300050</v>
      </c>
      <c r="C743" s="3" t="s">
        <v>1543</v>
      </c>
      <c r="D743" s="3" t="s">
        <v>1544</v>
      </c>
      <c r="E743" s="6">
        <v>9206</v>
      </c>
      <c r="F743" s="3" t="s">
        <v>33</v>
      </c>
      <c r="G743" s="3" t="s">
        <v>27</v>
      </c>
      <c r="H743" s="3" t="str">
        <f>VLOOKUP(B743,'[1]Select territorios'!$C:$L,10,0)</f>
        <v>10.445357</v>
      </c>
      <c r="I743" s="3" t="str">
        <f>VLOOKUP(B743,'[1]Select territorios'!$C:$M,11,0)</f>
        <v>-73.263677</v>
      </c>
      <c r="J743" s="5" t="s">
        <v>17</v>
      </c>
      <c r="K743" s="5">
        <v>15173890</v>
      </c>
      <c r="L743" s="5">
        <v>3002039991</v>
      </c>
      <c r="M743" s="5" t="s">
        <v>18</v>
      </c>
    </row>
    <row r="744" spans="1:13" ht="15.75" x14ac:dyDescent="0.25">
      <c r="A744" s="3">
        <v>6971</v>
      </c>
      <c r="B744" s="3">
        <v>300056</v>
      </c>
      <c r="C744" s="3" t="s">
        <v>1545</v>
      </c>
      <c r="D744" s="3" t="s">
        <v>1546</v>
      </c>
      <c r="E744" s="6">
        <v>6975</v>
      </c>
      <c r="F744" s="3" t="s">
        <v>78</v>
      </c>
      <c r="G744" s="3" t="s">
        <v>27</v>
      </c>
      <c r="H744" s="3" t="str">
        <f>VLOOKUP(B744,'[1]Select territorios'!$C:$L,10,0)</f>
        <v>9.974302</v>
      </c>
      <c r="I744" s="3" t="str">
        <f>VLOOKUP(B744,'[1]Select territorios'!$C:$M,11,0)</f>
        <v>-73.881990</v>
      </c>
      <c r="J744" s="5" t="s">
        <v>48</v>
      </c>
      <c r="K744" s="5">
        <v>1064795379</v>
      </c>
      <c r="L744" s="5">
        <v>3104688587</v>
      </c>
      <c r="M744" s="5" t="s">
        <v>49</v>
      </c>
    </row>
    <row r="745" spans="1:13" ht="15.75" x14ac:dyDescent="0.25">
      <c r="A745" s="3">
        <v>6971</v>
      </c>
      <c r="B745" s="3">
        <v>300084</v>
      </c>
      <c r="C745" s="3" t="s">
        <v>1547</v>
      </c>
      <c r="D745" s="3" t="s">
        <v>1548</v>
      </c>
      <c r="E745" s="6">
        <v>6988</v>
      </c>
      <c r="F745" s="3" t="s">
        <v>227</v>
      </c>
      <c r="G745" s="3" t="s">
        <v>1480</v>
      </c>
      <c r="H745" s="3" t="str">
        <f>VLOOKUP(B745,'[1]Select territorios'!$C:$L,10,0)</f>
        <v>10.399553</v>
      </c>
      <c r="I745" s="3" t="str">
        <f>VLOOKUP(B745,'[1]Select territorios'!$C:$M,11,0)</f>
        <v>-73.168130</v>
      </c>
      <c r="J745" s="5" t="s">
        <v>23</v>
      </c>
      <c r="K745" s="5">
        <v>1065600058</v>
      </c>
      <c r="L745" s="5">
        <v>3123009293</v>
      </c>
      <c r="M745" s="5" t="s">
        <v>24</v>
      </c>
    </row>
    <row r="746" spans="1:13" ht="15.75" x14ac:dyDescent="0.25">
      <c r="A746" s="3">
        <v>6971</v>
      </c>
      <c r="B746" s="3">
        <v>250273</v>
      </c>
      <c r="C746" s="3" t="s">
        <v>1549</v>
      </c>
      <c r="D746" s="3" t="s">
        <v>1550</v>
      </c>
      <c r="E746" s="6">
        <v>6983</v>
      </c>
      <c r="F746" s="3" t="s">
        <v>309</v>
      </c>
      <c r="G746" s="3" t="s">
        <v>22</v>
      </c>
      <c r="H746" s="3" t="str">
        <f>VLOOKUP(B746,'[1]Select territorios'!$C:$L,10,0)</f>
        <v>9.38158</v>
      </c>
      <c r="I746" s="3" t="str">
        <f>VLOOKUP(B746,'[1]Select territorios'!$C:$M,11,0)</f>
        <v>-73.38279</v>
      </c>
      <c r="J746" s="5" t="s">
        <v>107</v>
      </c>
      <c r="K746" s="5">
        <v>1005281494</v>
      </c>
      <c r="L746" s="5">
        <v>3158541035</v>
      </c>
      <c r="M746" s="5" t="s">
        <v>108</v>
      </c>
    </row>
    <row r="747" spans="1:13" ht="15.75" x14ac:dyDescent="0.25">
      <c r="A747" s="3">
        <v>6971</v>
      </c>
      <c r="B747" s="3">
        <v>300098</v>
      </c>
      <c r="C747" s="3" t="s">
        <v>1551</v>
      </c>
      <c r="D747" s="3" t="s">
        <v>1552</v>
      </c>
      <c r="E747" s="6">
        <v>45388</v>
      </c>
      <c r="F747" s="3" t="s">
        <v>196</v>
      </c>
      <c r="G747" s="3" t="s">
        <v>27</v>
      </c>
      <c r="H747" s="3" t="str">
        <f>VLOOKUP(B747,'[1]Select territorios'!$C:$L,10,0)</f>
        <v>9.975170</v>
      </c>
      <c r="I747" s="3" t="str">
        <f>VLOOKUP(B747,'[1]Select territorios'!$C:$M,11,0)</f>
        <v>-73.893733</v>
      </c>
      <c r="J747" s="5" t="s">
        <v>48</v>
      </c>
      <c r="K747" s="5">
        <v>1064795379</v>
      </c>
      <c r="L747" s="5">
        <v>3104688587</v>
      </c>
      <c r="M747" s="5" t="s">
        <v>49</v>
      </c>
    </row>
    <row r="748" spans="1:13" ht="15.75" x14ac:dyDescent="0.25">
      <c r="A748" s="3">
        <v>6971</v>
      </c>
      <c r="B748" s="3">
        <v>300100</v>
      </c>
      <c r="C748" s="3" t="s">
        <v>1553</v>
      </c>
      <c r="D748" s="3" t="s">
        <v>1554</v>
      </c>
      <c r="E748" s="6">
        <v>6973</v>
      </c>
      <c r="F748" s="3" t="s">
        <v>128</v>
      </c>
      <c r="G748" s="3" t="s">
        <v>27</v>
      </c>
      <c r="H748" s="3" t="str">
        <f>VLOOKUP(B748,'[1]Select territorios'!$C:$L,10,0)</f>
        <v>9.536610</v>
      </c>
      <c r="I748" s="3" t="str">
        <f>VLOOKUP(B748,'[1]Select territorios'!$C:$M,11,0)</f>
        <v>-73.911588</v>
      </c>
      <c r="J748" s="5" t="s">
        <v>48</v>
      </c>
      <c r="K748" s="5">
        <v>1064795379</v>
      </c>
      <c r="L748" s="5">
        <v>3104688587</v>
      </c>
      <c r="M748" s="5" t="s">
        <v>49</v>
      </c>
    </row>
    <row r="749" spans="1:13" ht="15.75" x14ac:dyDescent="0.25">
      <c r="A749" s="3">
        <v>6971</v>
      </c>
      <c r="B749" s="3">
        <v>300105</v>
      </c>
      <c r="C749" s="3" t="s">
        <v>1555</v>
      </c>
      <c r="D749" s="3" t="s">
        <v>1556</v>
      </c>
      <c r="E749" s="6">
        <v>17176</v>
      </c>
      <c r="F749" s="3" t="s">
        <v>189</v>
      </c>
      <c r="G749" s="3" t="s">
        <v>27</v>
      </c>
      <c r="H749" s="3" t="str">
        <f>VLOOKUP(B749,'[1]Select territorios'!$C:$L,10,0)</f>
        <v>10.468464</v>
      </c>
      <c r="I749" s="3" t="str">
        <f>VLOOKUP(B749,'[1]Select territorios'!$C:$M,11,0)</f>
        <v>-73.234558</v>
      </c>
      <c r="J749" s="5" t="s">
        <v>40</v>
      </c>
      <c r="K749" s="5">
        <v>1003275622</v>
      </c>
      <c r="L749" s="5">
        <v>3218847746</v>
      </c>
      <c r="M749" s="5" t="s">
        <v>41</v>
      </c>
    </row>
    <row r="750" spans="1:13" ht="15.75" x14ac:dyDescent="0.25">
      <c r="A750" s="3">
        <v>6971</v>
      </c>
      <c r="B750" s="3">
        <v>300012</v>
      </c>
      <c r="C750" s="3" t="s">
        <v>1557</v>
      </c>
      <c r="D750" s="3" t="s">
        <v>1558</v>
      </c>
      <c r="E750" s="4">
        <v>7001</v>
      </c>
      <c r="F750" s="3" t="s">
        <v>55</v>
      </c>
      <c r="G750" s="3" t="s">
        <v>27</v>
      </c>
      <c r="H750" s="3" t="str">
        <f>VLOOKUP(B750,'[1]Select territorios'!$C:$L,10,0)</f>
        <v>10.46966317</v>
      </c>
      <c r="I750" s="3" t="str">
        <f>VLOOKUP(B750,'[1]Select territorios'!$C:$M,11,0)</f>
        <v>-73.24722943</v>
      </c>
      <c r="J750" s="5" t="s">
        <v>23</v>
      </c>
      <c r="K750" s="5">
        <v>1065600058</v>
      </c>
      <c r="L750" s="5">
        <v>3123009293</v>
      </c>
      <c r="M750" s="5" t="s">
        <v>24</v>
      </c>
    </row>
    <row r="751" spans="1:13" ht="15.75" x14ac:dyDescent="0.25">
      <c r="A751" s="3">
        <v>6971</v>
      </c>
      <c r="B751" s="3">
        <v>300106</v>
      </c>
      <c r="C751" s="3" t="s">
        <v>1559</v>
      </c>
      <c r="D751" s="3" t="s">
        <v>1560</v>
      </c>
      <c r="E751" s="6">
        <v>6975</v>
      </c>
      <c r="F751" s="3" t="s">
        <v>78</v>
      </c>
      <c r="G751" s="3" t="s">
        <v>27</v>
      </c>
      <c r="H751" s="3" t="str">
        <f>VLOOKUP(B751,'[1]Select territorios'!$C:$L,10,0)</f>
        <v>9.976583</v>
      </c>
      <c r="I751" s="3" t="str">
        <f>VLOOKUP(B751,'[1]Select territorios'!$C:$M,11,0)</f>
        <v>-73.886627</v>
      </c>
      <c r="J751" s="5" t="s">
        <v>48</v>
      </c>
      <c r="K751" s="5">
        <v>1064795379</v>
      </c>
      <c r="L751" s="5">
        <v>3104688587</v>
      </c>
      <c r="M751" s="5" t="s">
        <v>49</v>
      </c>
    </row>
    <row r="752" spans="1:13" ht="15.75" x14ac:dyDescent="0.25">
      <c r="A752" s="3">
        <v>6971</v>
      </c>
      <c r="B752" s="3">
        <v>300120</v>
      </c>
      <c r="C752" s="3" t="s">
        <v>1561</v>
      </c>
      <c r="D752" s="3" t="s">
        <v>1562</v>
      </c>
      <c r="E752" s="6">
        <v>45388</v>
      </c>
      <c r="F752" s="3" t="s">
        <v>196</v>
      </c>
      <c r="G752" s="3" t="s">
        <v>27</v>
      </c>
      <c r="H752" s="3" t="str">
        <f>VLOOKUP(B752,'[1]Select territorios'!$C:$L,10,0)</f>
        <v>9.969486</v>
      </c>
      <c r="I752" s="3" t="str">
        <f>VLOOKUP(B752,'[1]Select territorios'!$C:$M,11,0)</f>
        <v>-73.884894</v>
      </c>
      <c r="J752" s="5" t="s">
        <v>48</v>
      </c>
      <c r="K752" s="5">
        <v>1064795379</v>
      </c>
      <c r="L752" s="5">
        <v>3104688587</v>
      </c>
      <c r="M752" s="5" t="s">
        <v>49</v>
      </c>
    </row>
    <row r="753" spans="1:13" ht="15.75" x14ac:dyDescent="0.25">
      <c r="A753" s="3">
        <v>6971</v>
      </c>
      <c r="B753" s="3">
        <v>300122</v>
      </c>
      <c r="C753" s="3" t="s">
        <v>1563</v>
      </c>
      <c r="D753" s="3" t="s">
        <v>1564</v>
      </c>
      <c r="E753" s="6">
        <v>42463</v>
      </c>
      <c r="F753" s="3" t="s">
        <v>377</v>
      </c>
      <c r="G753" s="3" t="s">
        <v>27</v>
      </c>
      <c r="H753" s="3" t="str">
        <f>VLOOKUP(B753,'[1]Select territorios'!$C:$L,10,0)</f>
        <v>10.023551</v>
      </c>
      <c r="I753" s="3" t="str">
        <f>VLOOKUP(B753,'[1]Select territorios'!$C:$M,11,0)</f>
        <v>-73.238213</v>
      </c>
      <c r="J753" s="5" t="s">
        <v>58</v>
      </c>
      <c r="K753" s="5">
        <v>1193146338</v>
      </c>
      <c r="L753" s="5">
        <v>3202114923</v>
      </c>
      <c r="M753" s="5" t="s">
        <v>59</v>
      </c>
    </row>
    <row r="754" spans="1:13" ht="15.75" x14ac:dyDescent="0.25">
      <c r="A754" s="3">
        <v>6971</v>
      </c>
      <c r="B754" s="3">
        <v>300119</v>
      </c>
      <c r="C754" s="3" t="s">
        <v>1565</v>
      </c>
      <c r="D754" s="3" t="s">
        <v>1566</v>
      </c>
      <c r="E754" s="6">
        <v>8556</v>
      </c>
      <c r="F754" s="3" t="s">
        <v>36</v>
      </c>
      <c r="G754" s="3" t="s">
        <v>27</v>
      </c>
      <c r="H754" s="3" t="str">
        <f>VLOOKUP(B754,'[1]Select territorios'!$C:$L,10,0)</f>
        <v>10.46625</v>
      </c>
      <c r="I754" s="3" t="str">
        <f>VLOOKUP(B754,'[1]Select territorios'!$C:$M,11,0)</f>
        <v>-73.23901</v>
      </c>
      <c r="J754" s="5" t="s">
        <v>23</v>
      </c>
      <c r="K754" s="5">
        <v>1065600058</v>
      </c>
      <c r="L754" s="5">
        <v>3123009293</v>
      </c>
      <c r="M754" s="5" t="s">
        <v>24</v>
      </c>
    </row>
    <row r="755" spans="1:13" ht="15.75" x14ac:dyDescent="0.25">
      <c r="A755" s="3">
        <v>6971</v>
      </c>
      <c r="B755" s="3">
        <v>300051</v>
      </c>
      <c r="C755" s="3" t="s">
        <v>1567</v>
      </c>
      <c r="D755" s="3" t="s">
        <v>1568</v>
      </c>
      <c r="E755" s="6">
        <v>6973</v>
      </c>
      <c r="F755" s="3" t="s">
        <v>128</v>
      </c>
      <c r="G755" s="3" t="s">
        <v>27</v>
      </c>
      <c r="H755" s="3" t="str">
        <f>VLOOKUP(B755,'[1]Select territorios'!$C:$L,10,0)</f>
        <v>9.499488</v>
      </c>
      <c r="I755" s="3" t="str">
        <f>VLOOKUP(B755,'[1]Select territorios'!$C:$M,11,0)</f>
        <v>-73.979163</v>
      </c>
      <c r="J755" s="5" t="s">
        <v>48</v>
      </c>
      <c r="K755" s="5">
        <v>1064795379</v>
      </c>
      <c r="L755" s="5">
        <v>3104688587</v>
      </c>
      <c r="M755" s="5" t="s">
        <v>49</v>
      </c>
    </row>
    <row r="756" spans="1:13" ht="15.75" x14ac:dyDescent="0.25">
      <c r="A756" s="3">
        <v>6971</v>
      </c>
      <c r="B756" s="3">
        <v>300110</v>
      </c>
      <c r="C756" s="3" t="s">
        <v>1569</v>
      </c>
      <c r="D756" s="3" t="s">
        <v>1471</v>
      </c>
      <c r="E756" s="6">
        <v>6977</v>
      </c>
      <c r="F756" s="3" t="s">
        <v>52</v>
      </c>
      <c r="G756" s="3" t="s">
        <v>1480</v>
      </c>
      <c r="H756" s="3" t="str">
        <f>VLOOKUP(B756,'[1]Select territorios'!$C:$L,10,0)</f>
        <v>9.3602780</v>
      </c>
      <c r="I756" s="3" t="str">
        <f>VLOOKUP(B756,'[1]Select territorios'!$C:$M,11,0)</f>
        <v>-73.596312</v>
      </c>
      <c r="J756" s="5" t="s">
        <v>48</v>
      </c>
      <c r="K756" s="5">
        <v>1064795379</v>
      </c>
      <c r="L756" s="5">
        <v>3104688587</v>
      </c>
      <c r="M756" s="5" t="s">
        <v>49</v>
      </c>
    </row>
    <row r="757" spans="1:13" ht="15.75" x14ac:dyDescent="0.25">
      <c r="A757" s="3">
        <v>6971</v>
      </c>
      <c r="B757" s="3">
        <v>300107</v>
      </c>
      <c r="C757" s="3" t="s">
        <v>1570</v>
      </c>
      <c r="D757" s="3" t="s">
        <v>1571</v>
      </c>
      <c r="E757" s="6">
        <v>6985</v>
      </c>
      <c r="F757" s="3" t="s">
        <v>101</v>
      </c>
      <c r="G757" s="3" t="s">
        <v>27</v>
      </c>
      <c r="H757" s="3" t="str">
        <f>VLOOKUP(B757,'[1]Select territorios'!$C:$L,10,0)</f>
        <v>9.63073833</v>
      </c>
      <c r="I757" s="3" t="str">
        <f>VLOOKUP(B757,'[1]Select territorios'!$C:$M,11,0)</f>
        <v>-73.42310233</v>
      </c>
      <c r="J757" s="5" t="s">
        <v>58</v>
      </c>
      <c r="K757" s="5">
        <v>1193146338</v>
      </c>
      <c r="L757" s="5">
        <v>3202114923</v>
      </c>
      <c r="M757" s="5" t="s">
        <v>59</v>
      </c>
    </row>
    <row r="758" spans="1:13" ht="15.75" x14ac:dyDescent="0.25">
      <c r="A758" s="3">
        <v>6971</v>
      </c>
      <c r="B758" s="3">
        <v>300150</v>
      </c>
      <c r="C758" s="3" t="s">
        <v>1572</v>
      </c>
      <c r="D758" s="3" t="s">
        <v>1573</v>
      </c>
      <c r="E758" s="6">
        <v>45386</v>
      </c>
      <c r="F758" s="3" t="s">
        <v>67</v>
      </c>
      <c r="G758" s="3" t="s">
        <v>27</v>
      </c>
      <c r="H758" s="3" t="str">
        <f>VLOOKUP(B758,'[1]Select territorios'!$C:$L,10,0)</f>
        <v>10.42924984</v>
      </c>
      <c r="I758" s="3" t="str">
        <f>VLOOKUP(B758,'[1]Select territorios'!$C:$M,11,0)</f>
        <v>-73.25514613</v>
      </c>
      <c r="J758" s="5" t="s">
        <v>40</v>
      </c>
      <c r="K758" s="5">
        <v>1003275622</v>
      </c>
      <c r="L758" s="5">
        <v>3218847746</v>
      </c>
      <c r="M758" s="5" t="s">
        <v>41</v>
      </c>
    </row>
    <row r="759" spans="1:13" ht="15.75" x14ac:dyDescent="0.25">
      <c r="A759" s="3">
        <v>6971</v>
      </c>
      <c r="B759" s="3">
        <v>300167</v>
      </c>
      <c r="C759" s="3" t="s">
        <v>1574</v>
      </c>
      <c r="D759" s="3" t="s">
        <v>1575</v>
      </c>
      <c r="E759" s="6">
        <v>6979</v>
      </c>
      <c r="F759" s="3" t="s">
        <v>57</v>
      </c>
      <c r="G759" s="3" t="s">
        <v>27</v>
      </c>
      <c r="H759" s="3" t="str">
        <f>VLOOKUP(B759,'[1]Select territorios'!$C:$L,10,0)</f>
        <v>9.204015</v>
      </c>
      <c r="I759" s="3" t="str">
        <f>VLOOKUP(B759,'[1]Select territorios'!$C:$M,11,0)</f>
        <v>-73.550277</v>
      </c>
      <c r="J759" s="5" t="s">
        <v>58</v>
      </c>
      <c r="K759" s="5">
        <v>1193146338</v>
      </c>
      <c r="L759" s="5">
        <v>3202114923</v>
      </c>
      <c r="M759" s="5" t="s">
        <v>59</v>
      </c>
    </row>
    <row r="760" spans="1:13" ht="15.75" x14ac:dyDescent="0.25">
      <c r="A760" s="3">
        <v>6971</v>
      </c>
      <c r="B760" s="3">
        <v>300170</v>
      </c>
      <c r="C760" s="3" t="s">
        <v>1576</v>
      </c>
      <c r="D760" s="3" t="s">
        <v>1577</v>
      </c>
      <c r="E760" s="6">
        <v>6981</v>
      </c>
      <c r="F760" s="3" t="s">
        <v>47</v>
      </c>
      <c r="G760" s="3" t="s">
        <v>27</v>
      </c>
      <c r="H760" s="3" t="str">
        <f>VLOOKUP(B760,'[1]Select territorios'!$C:$L,10,0)</f>
        <v>9.66327584</v>
      </c>
      <c r="I760" s="3" t="str">
        <f>VLOOKUP(B760,'[1]Select territorios'!$C:$M,11,0)</f>
        <v>-73.7442277</v>
      </c>
      <c r="J760" s="5" t="s">
        <v>48</v>
      </c>
      <c r="K760" s="5">
        <v>1064795379</v>
      </c>
      <c r="L760" s="5">
        <v>3104688587</v>
      </c>
      <c r="M760" s="5" t="s">
        <v>49</v>
      </c>
    </row>
    <row r="761" spans="1:13" ht="15.75" x14ac:dyDescent="0.25">
      <c r="A761" s="3">
        <v>6971</v>
      </c>
      <c r="B761" s="3">
        <v>300173</v>
      </c>
      <c r="C761" s="3" t="s">
        <v>1578</v>
      </c>
      <c r="D761" s="3" t="s">
        <v>1579</v>
      </c>
      <c r="E761" s="6">
        <v>8560</v>
      </c>
      <c r="F761" s="3" t="s">
        <v>161</v>
      </c>
      <c r="G761" s="3" t="s">
        <v>27</v>
      </c>
      <c r="H761" s="3" t="str">
        <f>VLOOKUP(B761,'[1]Select territorios'!$C:$L,10,0)</f>
        <v>8.3148266</v>
      </c>
      <c r="I761" s="3" t="str">
        <f>VLOOKUP(B761,'[1]Select territorios'!$C:$M,11,0)</f>
        <v>-73.59944751</v>
      </c>
      <c r="J761" s="5" t="s">
        <v>107</v>
      </c>
      <c r="K761" s="5">
        <v>1005281494</v>
      </c>
      <c r="L761" s="5">
        <v>3158541035</v>
      </c>
      <c r="M761" s="5" t="s">
        <v>108</v>
      </c>
    </row>
    <row r="762" spans="1:13" ht="15.75" x14ac:dyDescent="0.25">
      <c r="A762" s="3">
        <v>6971</v>
      </c>
      <c r="B762" s="3">
        <v>300172</v>
      </c>
      <c r="C762" s="3" t="s">
        <v>1580</v>
      </c>
      <c r="D762" s="3" t="s">
        <v>1581</v>
      </c>
      <c r="E762" s="6">
        <v>8560</v>
      </c>
      <c r="F762" s="3" t="s">
        <v>161</v>
      </c>
      <c r="G762" s="3" t="s">
        <v>27</v>
      </c>
      <c r="H762" s="3" t="str">
        <f>VLOOKUP(B762,'[1]Select territorios'!$C:$L,10,0)</f>
        <v>8.3204875</v>
      </c>
      <c r="I762" s="3" t="str">
        <f>VLOOKUP(B762,'[1]Select territorios'!$C:$M,11,0)</f>
        <v>-73.6016081</v>
      </c>
      <c r="J762" s="5" t="s">
        <v>107</v>
      </c>
      <c r="K762" s="5">
        <v>1005281494</v>
      </c>
      <c r="L762" s="5">
        <v>3158541035</v>
      </c>
      <c r="M762" s="5" t="s">
        <v>108</v>
      </c>
    </row>
    <row r="763" spans="1:13" ht="15.75" x14ac:dyDescent="0.25">
      <c r="A763" s="3">
        <v>6971</v>
      </c>
      <c r="B763" s="3">
        <v>300165</v>
      </c>
      <c r="C763" s="3" t="s">
        <v>1582</v>
      </c>
      <c r="D763" s="3" t="s">
        <v>1583</v>
      </c>
      <c r="E763" s="6">
        <v>17191</v>
      </c>
      <c r="F763" s="3" t="s">
        <v>186</v>
      </c>
      <c r="G763" s="3" t="s">
        <v>27</v>
      </c>
      <c r="H763" s="3" t="str">
        <f>VLOOKUP(B763,'[1]Select territorios'!$C:$L,10,0)</f>
        <v>10.43363</v>
      </c>
      <c r="I763" s="3" t="str">
        <f>VLOOKUP(B763,'[1]Select territorios'!$C:$M,11,0)</f>
        <v>-73.38850</v>
      </c>
      <c r="J763" s="5" t="s">
        <v>17</v>
      </c>
      <c r="K763" s="5">
        <v>15173890</v>
      </c>
      <c r="L763" s="5">
        <v>3002039991</v>
      </c>
      <c r="M763" s="5" t="s">
        <v>18</v>
      </c>
    </row>
    <row r="764" spans="1:13" ht="15.75" x14ac:dyDescent="0.25">
      <c r="A764" s="3">
        <v>6971</v>
      </c>
      <c r="B764" s="3">
        <v>300166</v>
      </c>
      <c r="C764" s="3" t="s">
        <v>1584</v>
      </c>
      <c r="D764" s="3" t="s">
        <v>1585</v>
      </c>
      <c r="E764" s="6">
        <v>6977</v>
      </c>
      <c r="F764" s="3" t="s">
        <v>52</v>
      </c>
      <c r="G764" s="3" t="s">
        <v>1480</v>
      </c>
      <c r="H764" s="3" t="str">
        <f>VLOOKUP(B764,'[1]Select territorios'!$C:$L,10,0)</f>
        <v>9.39135666</v>
      </c>
      <c r="I764" s="3" t="str">
        <f>VLOOKUP(B764,'[1]Select territorios'!$C:$M,11,0)</f>
        <v>-73.489035</v>
      </c>
      <c r="J764" s="5" t="s">
        <v>48</v>
      </c>
      <c r="K764" s="5">
        <v>1064795379</v>
      </c>
      <c r="L764" s="5">
        <v>3104688587</v>
      </c>
      <c r="M764" s="5" t="s">
        <v>49</v>
      </c>
    </row>
    <row r="765" spans="1:13" ht="15.75" x14ac:dyDescent="0.25">
      <c r="A765" s="3">
        <v>6971</v>
      </c>
      <c r="B765" s="3">
        <v>300210</v>
      </c>
      <c r="C765" s="3" t="s">
        <v>1586</v>
      </c>
      <c r="D765" s="3" t="s">
        <v>1587</v>
      </c>
      <c r="E765" s="6">
        <v>6983</v>
      </c>
      <c r="F765" s="3" t="s">
        <v>309</v>
      </c>
      <c r="G765" s="3" t="s">
        <v>27</v>
      </c>
      <c r="H765" s="3" t="str">
        <f>VLOOKUP(B765,'[1]Select territorios'!$C:$L,10,0)</f>
        <v>8.446715</v>
      </c>
      <c r="I765" s="3" t="str">
        <f>VLOOKUP(B765,'[1]Select territorios'!$C:$M,11,0)</f>
        <v>-73.374625</v>
      </c>
      <c r="J765" s="5" t="s">
        <v>107</v>
      </c>
      <c r="K765" s="5">
        <v>1005281494</v>
      </c>
      <c r="L765" s="5">
        <v>3158541035</v>
      </c>
      <c r="M765" s="5" t="s">
        <v>108</v>
      </c>
    </row>
    <row r="766" spans="1:13" ht="15.75" x14ac:dyDescent="0.25">
      <c r="A766" s="3">
        <v>6971</v>
      </c>
      <c r="B766" s="3">
        <v>300213</v>
      </c>
      <c r="C766" s="3" t="s">
        <v>1588</v>
      </c>
      <c r="D766" s="3" t="s">
        <v>1589</v>
      </c>
      <c r="E766" s="6">
        <v>18936</v>
      </c>
      <c r="F766" s="3" t="s">
        <v>21</v>
      </c>
      <c r="G766" s="3" t="s">
        <v>27</v>
      </c>
      <c r="H766" s="3" t="str">
        <f>VLOOKUP(B766,'[1]Select territorios'!$C:$L,10,0)</f>
        <v>10.7053</v>
      </c>
      <c r="I766" s="3" t="str">
        <f>VLOOKUP(B766,'[1]Select territorios'!$C:$M,11,0)</f>
        <v>-73.2107</v>
      </c>
      <c r="J766" s="5" t="s">
        <v>23</v>
      </c>
      <c r="K766" s="5">
        <v>1065600058</v>
      </c>
      <c r="L766" s="5">
        <v>3123009293</v>
      </c>
      <c r="M766" s="5" t="s">
        <v>24</v>
      </c>
    </row>
    <row r="767" spans="1:13" ht="15.75" x14ac:dyDescent="0.25">
      <c r="A767" s="3">
        <v>6971</v>
      </c>
      <c r="B767" s="3">
        <v>300277</v>
      </c>
      <c r="C767" s="3" t="s">
        <v>1590</v>
      </c>
      <c r="D767" s="3" t="s">
        <v>1591</v>
      </c>
      <c r="E767" s="6">
        <v>6978</v>
      </c>
      <c r="F767" s="3" t="s">
        <v>91</v>
      </c>
      <c r="G767" s="3" t="s">
        <v>27</v>
      </c>
      <c r="H767" s="3" t="str">
        <f>VLOOKUP(B767,'[1]Select territorios'!$C:$L,10,0)</f>
        <v>10.039055</v>
      </c>
      <c r="I767" s="3" t="str">
        <f>VLOOKUP(B767,'[1]Select territorios'!$C:$M,11,0)</f>
        <v>-73.226499</v>
      </c>
      <c r="J767" s="5" t="s">
        <v>58</v>
      </c>
      <c r="K767" s="5">
        <v>1193146338</v>
      </c>
      <c r="L767" s="5">
        <v>3202114923</v>
      </c>
      <c r="M767" s="5" t="s">
        <v>59</v>
      </c>
    </row>
    <row r="768" spans="1:13" ht="15.75" x14ac:dyDescent="0.25">
      <c r="A768" s="3">
        <v>6971</v>
      </c>
      <c r="B768" s="3">
        <v>300294</v>
      </c>
      <c r="C768" s="3" t="s">
        <v>1592</v>
      </c>
      <c r="D768" s="3" t="s">
        <v>1593</v>
      </c>
      <c r="E768" s="6">
        <v>8560</v>
      </c>
      <c r="F768" s="3" t="s">
        <v>161</v>
      </c>
      <c r="G768" s="3" t="s">
        <v>27</v>
      </c>
      <c r="H768" s="3" t="str">
        <f>VLOOKUP(B768,'[1]Select territorios'!$C:$L,10,0)</f>
        <v>8.30547803</v>
      </c>
      <c r="I768" s="3" t="str">
        <f>VLOOKUP(B768,'[1]Select territorios'!$C:$M,11,0)</f>
        <v>-73.60318194</v>
      </c>
      <c r="J768" s="5" t="s">
        <v>107</v>
      </c>
      <c r="K768" s="5">
        <v>1005281494</v>
      </c>
      <c r="L768" s="5">
        <v>3158541035</v>
      </c>
      <c r="M768" s="5" t="s">
        <v>108</v>
      </c>
    </row>
    <row r="769" spans="1:13" ht="15.75" x14ac:dyDescent="0.25">
      <c r="A769" s="3">
        <v>6971</v>
      </c>
      <c r="B769" s="3">
        <v>300292</v>
      </c>
      <c r="C769" s="3" t="s">
        <v>1594</v>
      </c>
      <c r="D769" s="3" t="s">
        <v>1595</v>
      </c>
      <c r="E769" s="6">
        <v>6978</v>
      </c>
      <c r="F769" s="3" t="s">
        <v>91</v>
      </c>
      <c r="G769" s="3" t="s">
        <v>27</v>
      </c>
      <c r="H769" s="3" t="str">
        <f>VLOOKUP(B769,'[1]Select territorios'!$C:$L,10,0)</f>
        <v>10.044119</v>
      </c>
      <c r="I769" s="3" t="str">
        <f>VLOOKUP(B769,'[1]Select territorios'!$C:$M,11,0)</f>
        <v>-73.227692</v>
      </c>
      <c r="J769" s="5" t="s">
        <v>58</v>
      </c>
      <c r="K769" s="5">
        <v>1193146338</v>
      </c>
      <c r="L769" s="5">
        <v>3202114923</v>
      </c>
      <c r="M769" s="5" t="s">
        <v>59</v>
      </c>
    </row>
    <row r="770" spans="1:13" ht="15.75" x14ac:dyDescent="0.25">
      <c r="A770" s="3">
        <v>6971</v>
      </c>
      <c r="B770" s="3">
        <v>300273</v>
      </c>
      <c r="C770" s="3" t="s">
        <v>1596</v>
      </c>
      <c r="D770" s="3" t="s">
        <v>1597</v>
      </c>
      <c r="E770" s="6">
        <v>6991</v>
      </c>
      <c r="F770" s="3" t="s">
        <v>70</v>
      </c>
      <c r="G770" s="3" t="s">
        <v>27</v>
      </c>
      <c r="H770" s="3" t="str">
        <f>VLOOKUP(B770,'[1]Select territorios'!$C:$L,10,0)</f>
        <v>8.6836</v>
      </c>
      <c r="I770" s="3" t="str">
        <f>VLOOKUP(B770,'[1]Select territorios'!$C:$M,11,0)</f>
        <v>-73.6630</v>
      </c>
      <c r="J770" s="5" t="s">
        <v>71</v>
      </c>
      <c r="K770" s="5">
        <v>1065818056</v>
      </c>
      <c r="L770" s="5">
        <v>3145467066</v>
      </c>
      <c r="M770" s="5" t="s">
        <v>72</v>
      </c>
    </row>
    <row r="771" spans="1:13" ht="15.75" x14ac:dyDescent="0.25">
      <c r="A771" s="3">
        <v>6971</v>
      </c>
      <c r="B771" s="3">
        <v>300291</v>
      </c>
      <c r="C771" s="3" t="s">
        <v>1598</v>
      </c>
      <c r="D771" s="3" t="s">
        <v>1599</v>
      </c>
      <c r="E771" s="6">
        <v>20329</v>
      </c>
      <c r="F771" s="3" t="s">
        <v>152</v>
      </c>
      <c r="G771" s="3" t="s">
        <v>27</v>
      </c>
      <c r="H771" s="3" t="str">
        <f>VLOOKUP(B771,'[1]Select territorios'!$C:$L,10,0)</f>
        <v>9.862768</v>
      </c>
      <c r="I771" s="3" t="str">
        <f>VLOOKUP(B771,'[1]Select territorios'!$C:$M,11,0)</f>
        <v>-73.245822</v>
      </c>
      <c r="J771" s="5" t="s">
        <v>58</v>
      </c>
      <c r="K771" s="5">
        <v>1193146338</v>
      </c>
      <c r="L771" s="5">
        <v>3202114923</v>
      </c>
      <c r="M771" s="5" t="s">
        <v>59</v>
      </c>
    </row>
    <row r="772" spans="1:13" ht="15.75" x14ac:dyDescent="0.25">
      <c r="A772" s="3">
        <v>6971</v>
      </c>
      <c r="B772" s="3">
        <v>300386</v>
      </c>
      <c r="C772" s="3" t="s">
        <v>1600</v>
      </c>
      <c r="D772" s="3" t="s">
        <v>1601</v>
      </c>
      <c r="E772" s="6">
        <v>9206</v>
      </c>
      <c r="F772" s="3" t="s">
        <v>33</v>
      </c>
      <c r="G772" s="3" t="s">
        <v>27</v>
      </c>
      <c r="H772" s="3" t="str">
        <f>VLOOKUP(B772,'[1]Select territorios'!$C:$L,10,0)</f>
        <v>10.445750</v>
      </c>
      <c r="I772" s="3" t="str">
        <f>VLOOKUP(B772,'[1]Select territorios'!$C:$M,11,0)</f>
        <v>-73.269955</v>
      </c>
      <c r="J772" s="5" t="s">
        <v>17</v>
      </c>
      <c r="K772" s="5">
        <v>15173890</v>
      </c>
      <c r="L772" s="5">
        <v>3002039991</v>
      </c>
      <c r="M772" s="5" t="s">
        <v>18</v>
      </c>
    </row>
    <row r="773" spans="1:13" ht="15.75" x14ac:dyDescent="0.25">
      <c r="A773" s="3">
        <v>6971</v>
      </c>
      <c r="B773" s="3">
        <v>300364</v>
      </c>
      <c r="C773" s="3" t="s">
        <v>1602</v>
      </c>
      <c r="D773" s="3" t="s">
        <v>1603</v>
      </c>
      <c r="E773" s="6">
        <v>17191</v>
      </c>
      <c r="F773" s="3" t="s">
        <v>186</v>
      </c>
      <c r="G773" s="3" t="s">
        <v>27</v>
      </c>
      <c r="H773" s="3" t="str">
        <f>VLOOKUP(B773,'[1]Select territorios'!$C:$L,10,0)</f>
        <v>10.46188</v>
      </c>
      <c r="I773" s="3" t="str">
        <f>VLOOKUP(B773,'[1]Select territorios'!$C:$M,11,0)</f>
        <v>-73.28215</v>
      </c>
      <c r="J773" s="5" t="s">
        <v>17</v>
      </c>
      <c r="K773" s="5">
        <v>15173890</v>
      </c>
      <c r="L773" s="5">
        <v>3002039991</v>
      </c>
      <c r="M773" s="5" t="s">
        <v>18</v>
      </c>
    </row>
    <row r="774" spans="1:13" ht="15.75" x14ac:dyDescent="0.25">
      <c r="A774" s="3">
        <v>6971</v>
      </c>
      <c r="B774" s="3">
        <v>300438</v>
      </c>
      <c r="C774" s="3" t="s">
        <v>1604</v>
      </c>
      <c r="D774" s="3" t="s">
        <v>1605</v>
      </c>
      <c r="E774" s="6">
        <v>6979</v>
      </c>
      <c r="F774" s="3" t="s">
        <v>57</v>
      </c>
      <c r="G774" s="3" t="s">
        <v>27</v>
      </c>
      <c r="H774" s="3" t="str">
        <f>VLOOKUP(B774,'[1]Select territorios'!$C:$L,10,0)</f>
        <v>9.199328</v>
      </c>
      <c r="I774" s="3" t="str">
        <f>VLOOKUP(B774,'[1]Select territorios'!$C:$M,11,0)</f>
        <v>-73.60780</v>
      </c>
      <c r="J774" s="5" t="s">
        <v>58</v>
      </c>
      <c r="K774" s="5">
        <v>1193146338</v>
      </c>
      <c r="L774" s="5">
        <v>3202114923</v>
      </c>
      <c r="M774" s="5" t="s">
        <v>59</v>
      </c>
    </row>
    <row r="775" spans="1:13" ht="15.75" x14ac:dyDescent="0.25">
      <c r="A775" s="3">
        <v>6971</v>
      </c>
      <c r="B775" s="3">
        <v>300434</v>
      </c>
      <c r="C775" s="3" t="s">
        <v>1606</v>
      </c>
      <c r="D775" s="3" t="s">
        <v>1607</v>
      </c>
      <c r="E775" s="6">
        <v>6996</v>
      </c>
      <c r="F775" s="3" t="s">
        <v>113</v>
      </c>
      <c r="G775" s="3" t="s">
        <v>27</v>
      </c>
      <c r="H775" s="3" t="str">
        <f>VLOOKUP(B775,'[1]Select territorios'!$C:$L,10,0)</f>
        <v>7.75341022</v>
      </c>
      <c r="I775" s="3" t="str">
        <f>VLOOKUP(B775,'[1]Select territorios'!$C:$M,11,0)</f>
        <v>-73.3985845</v>
      </c>
      <c r="J775" s="5" t="s">
        <v>107</v>
      </c>
      <c r="K775" s="5">
        <v>1005281494</v>
      </c>
      <c r="L775" s="5">
        <v>3158541035</v>
      </c>
      <c r="M775" s="5" t="s">
        <v>108</v>
      </c>
    </row>
    <row r="776" spans="1:13" ht="15.75" x14ac:dyDescent="0.25">
      <c r="A776" s="3">
        <v>6971</v>
      </c>
      <c r="B776" s="3">
        <v>300460</v>
      </c>
      <c r="C776" s="3" t="s">
        <v>1608</v>
      </c>
      <c r="D776" s="3" t="s">
        <v>1609</v>
      </c>
      <c r="E776" s="6">
        <v>6999</v>
      </c>
      <c r="F776" s="3" t="s">
        <v>260</v>
      </c>
      <c r="G776" s="3" t="s">
        <v>1480</v>
      </c>
      <c r="H776" s="3" t="str">
        <f>VLOOKUP(B776,'[1]Select territorios'!$C:$L,10,0)</f>
        <v>8.85560345</v>
      </c>
      <c r="I776" s="3" t="str">
        <f>VLOOKUP(B776,'[1]Select territorios'!$C:$M,11,0)</f>
        <v>-73.83296898</v>
      </c>
      <c r="J776" s="5" t="s">
        <v>71</v>
      </c>
      <c r="K776" s="5">
        <v>1065818056</v>
      </c>
      <c r="L776" s="5">
        <v>3145467066</v>
      </c>
      <c r="M776" s="5" t="s">
        <v>72</v>
      </c>
    </row>
    <row r="777" spans="1:13" ht="15.75" x14ac:dyDescent="0.25">
      <c r="A777" s="3">
        <v>6971</v>
      </c>
      <c r="B777" s="3">
        <v>300526</v>
      </c>
      <c r="C777" s="3" t="s">
        <v>1610</v>
      </c>
      <c r="D777" s="3" t="s">
        <v>1611</v>
      </c>
      <c r="E777" s="6">
        <v>8561</v>
      </c>
      <c r="F777" s="3" t="s">
        <v>168</v>
      </c>
      <c r="G777" s="3" t="s">
        <v>27</v>
      </c>
      <c r="H777" s="3" t="str">
        <f>VLOOKUP(B777,'[1]Select territorios'!$C:$L,10,0)</f>
        <v>8.30041</v>
      </c>
      <c r="I777" s="3" t="str">
        <f>VLOOKUP(B777,'[1]Select territorios'!$C:$M,11,0)</f>
        <v>-73.61531</v>
      </c>
      <c r="J777" s="5" t="s">
        <v>107</v>
      </c>
      <c r="K777" s="5">
        <v>1005281494</v>
      </c>
      <c r="L777" s="5">
        <v>3158541035</v>
      </c>
      <c r="M777" s="5" t="s">
        <v>108</v>
      </c>
    </row>
    <row r="778" spans="1:13" ht="15.75" x14ac:dyDescent="0.25">
      <c r="A778" s="3">
        <v>6971</v>
      </c>
      <c r="B778" s="3">
        <v>300529</v>
      </c>
      <c r="C778" s="3" t="s">
        <v>1612</v>
      </c>
      <c r="D778" s="3" t="s">
        <v>1613</v>
      </c>
      <c r="E778" s="6">
        <v>6996</v>
      </c>
      <c r="F778" s="3" t="s">
        <v>113</v>
      </c>
      <c r="G778" s="3" t="s">
        <v>27</v>
      </c>
      <c r="H778" s="3" t="str">
        <f>VLOOKUP(B778,'[1]Select territorios'!$C:$L,10,0)</f>
        <v>7.76578768</v>
      </c>
      <c r="I778" s="3" t="str">
        <f>VLOOKUP(B778,'[1]Select territorios'!$C:$M,11,0)</f>
        <v>-73.388546</v>
      </c>
      <c r="J778" s="5" t="s">
        <v>107</v>
      </c>
      <c r="K778" s="5">
        <v>1005281494</v>
      </c>
      <c r="L778" s="5">
        <v>3158541035</v>
      </c>
      <c r="M778" s="5" t="s">
        <v>108</v>
      </c>
    </row>
    <row r="779" spans="1:13" ht="15.75" x14ac:dyDescent="0.25">
      <c r="A779" s="3">
        <v>6971</v>
      </c>
      <c r="B779" s="3">
        <v>300555</v>
      </c>
      <c r="C779" s="3" t="s">
        <v>1614</v>
      </c>
      <c r="D779" s="3" t="s">
        <v>1390</v>
      </c>
      <c r="E779" s="6">
        <v>42463</v>
      </c>
      <c r="F779" s="3" t="s">
        <v>377</v>
      </c>
      <c r="G779" s="3" t="s">
        <v>27</v>
      </c>
      <c r="H779" s="3" t="str">
        <f>VLOOKUP(B779,'[1]Select territorios'!$C:$L,10,0)</f>
        <v>10.033499</v>
      </c>
      <c r="I779" s="3" t="str">
        <f>VLOOKUP(B779,'[1]Select territorios'!$C:$M,11,0)</f>
        <v>-73.242392</v>
      </c>
      <c r="J779" s="5" t="s">
        <v>58</v>
      </c>
      <c r="K779" s="5">
        <v>1193146338</v>
      </c>
      <c r="L779" s="5">
        <v>3202114923</v>
      </c>
      <c r="M779" s="5" t="s">
        <v>59</v>
      </c>
    </row>
    <row r="780" spans="1:13" ht="15.75" x14ac:dyDescent="0.25">
      <c r="A780" s="3">
        <v>6971</v>
      </c>
      <c r="B780" s="3">
        <v>300582</v>
      </c>
      <c r="C780" s="3" t="s">
        <v>1615</v>
      </c>
      <c r="D780" s="3" t="s">
        <v>1616</v>
      </c>
      <c r="E780" s="6">
        <v>6998</v>
      </c>
      <c r="F780" s="3" t="s">
        <v>106</v>
      </c>
      <c r="G780" s="3" t="s">
        <v>16</v>
      </c>
      <c r="H780" s="3" t="str">
        <f>VLOOKUP(B780,'[1]Select territorios'!$C:$L,10,0)</f>
        <v>8.002880</v>
      </c>
      <c r="I780" s="3" t="str">
        <f>VLOOKUP(B780,'[1]Select territorios'!$C:$M,11,0)</f>
        <v>-73.513435</v>
      </c>
      <c r="J780" s="5" t="s">
        <v>107</v>
      </c>
      <c r="K780" s="5">
        <v>1005281494</v>
      </c>
      <c r="L780" s="5">
        <v>3158541035</v>
      </c>
      <c r="M780" s="5" t="s">
        <v>108</v>
      </c>
    </row>
    <row r="781" spans="1:13" ht="15.75" x14ac:dyDescent="0.25">
      <c r="A781" s="3">
        <v>6971</v>
      </c>
      <c r="B781" s="3">
        <v>300553</v>
      </c>
      <c r="C781" s="3" t="s">
        <v>1617</v>
      </c>
      <c r="D781" s="3" t="s">
        <v>1618</v>
      </c>
      <c r="E781" s="6">
        <v>8561</v>
      </c>
      <c r="F781" s="3" t="s">
        <v>168</v>
      </c>
      <c r="G781" s="3" t="s">
        <v>27</v>
      </c>
      <c r="H781" s="3" t="str">
        <f>VLOOKUP(B781,'[1]Select territorios'!$C:$L,10,0)</f>
        <v>8.30533016</v>
      </c>
      <c r="I781" s="3" t="str">
        <f>VLOOKUP(B781,'[1]Select territorios'!$C:$M,11,0)</f>
        <v>-73.62007748</v>
      </c>
      <c r="J781" s="5" t="s">
        <v>107</v>
      </c>
      <c r="K781" s="5">
        <v>1005281494</v>
      </c>
      <c r="L781" s="5">
        <v>3158541035</v>
      </c>
      <c r="M781" s="5" t="s">
        <v>108</v>
      </c>
    </row>
    <row r="782" spans="1:13" ht="15.75" x14ac:dyDescent="0.25">
      <c r="A782" s="3">
        <v>6971</v>
      </c>
      <c r="B782" s="3">
        <v>300628</v>
      </c>
      <c r="C782" s="3" t="s">
        <v>1619</v>
      </c>
      <c r="D782" s="3" t="s">
        <v>1620</v>
      </c>
      <c r="E782" s="6">
        <v>8560</v>
      </c>
      <c r="F782" s="3" t="s">
        <v>161</v>
      </c>
      <c r="G782" s="3" t="s">
        <v>27</v>
      </c>
      <c r="H782" s="3" t="str">
        <f>VLOOKUP(B782,'[1]Select territorios'!$C:$L,10,0)</f>
        <v>8.31793</v>
      </c>
      <c r="I782" s="3" t="str">
        <f>VLOOKUP(B782,'[1]Select territorios'!$C:$M,11,0)</f>
        <v>-73.59703</v>
      </c>
      <c r="J782" s="5" t="s">
        <v>107</v>
      </c>
      <c r="K782" s="5">
        <v>1005281494</v>
      </c>
      <c r="L782" s="5">
        <v>3158541035</v>
      </c>
      <c r="M782" s="5" t="s">
        <v>108</v>
      </c>
    </row>
    <row r="783" spans="1:13" ht="15.75" x14ac:dyDescent="0.25">
      <c r="A783" s="3">
        <v>6971</v>
      </c>
      <c r="B783" s="3">
        <v>300640</v>
      </c>
      <c r="C783" s="3" t="s">
        <v>1621</v>
      </c>
      <c r="D783" s="3" t="s">
        <v>1622</v>
      </c>
      <c r="E783" s="6">
        <v>6993</v>
      </c>
      <c r="F783" s="3" t="s">
        <v>370</v>
      </c>
      <c r="G783" s="3" t="s">
        <v>27</v>
      </c>
      <c r="H783" s="3" t="str">
        <f>VLOOKUP(B783,'[1]Select territorios'!$C:$L,10,0)</f>
        <v>10.415735</v>
      </c>
      <c r="I783" s="3" t="str">
        <f>VLOOKUP(B783,'[1]Select territorios'!$C:$M,11,0)</f>
        <v>-73.590893</v>
      </c>
      <c r="J783" s="5" t="s">
        <v>40</v>
      </c>
      <c r="K783" s="5">
        <v>1003275622</v>
      </c>
      <c r="L783" s="5">
        <v>3218847746</v>
      </c>
      <c r="M783" s="5" t="s">
        <v>41</v>
      </c>
    </row>
    <row r="784" spans="1:13" ht="15.75" x14ac:dyDescent="0.25">
      <c r="A784" s="3">
        <v>6971</v>
      </c>
      <c r="B784" s="3">
        <v>300658</v>
      </c>
      <c r="C784" s="3" t="s">
        <v>1623</v>
      </c>
      <c r="D784" s="3" t="s">
        <v>1624</v>
      </c>
      <c r="E784" s="6">
        <v>44808</v>
      </c>
      <c r="F784" s="3" t="s">
        <v>245</v>
      </c>
      <c r="G784" s="3" t="s">
        <v>1480</v>
      </c>
      <c r="H784" s="3" t="str">
        <f>VLOOKUP(B784,'[1]Select territorios'!$C:$L,10,0)</f>
        <v>9.290393</v>
      </c>
      <c r="I784" s="3" t="str">
        <f>VLOOKUP(B784,'[1]Select territorios'!$C:$M,11,0)</f>
        <v>-73.516083</v>
      </c>
      <c r="J784" s="5" t="s">
        <v>58</v>
      </c>
      <c r="K784" s="5">
        <v>1193146338</v>
      </c>
      <c r="L784" s="5">
        <v>3202114923</v>
      </c>
      <c r="M784" s="5" t="s">
        <v>59</v>
      </c>
    </row>
    <row r="785" spans="1:13" ht="15.75" x14ac:dyDescent="0.25">
      <c r="A785" s="3">
        <v>6971</v>
      </c>
      <c r="B785" s="3">
        <v>300635</v>
      </c>
      <c r="C785" s="3" t="s">
        <v>1625</v>
      </c>
      <c r="D785" s="3" t="s">
        <v>1626</v>
      </c>
      <c r="E785" s="6">
        <v>18936</v>
      </c>
      <c r="F785" s="3" t="s">
        <v>21</v>
      </c>
      <c r="G785" s="3" t="s">
        <v>27</v>
      </c>
      <c r="H785" s="3" t="str">
        <f>VLOOKUP(B785,'[1]Select territorios'!$C:$L,10,0)</f>
        <v>10.6962471</v>
      </c>
      <c r="I785" s="3" t="str">
        <f>VLOOKUP(B785,'[1]Select territorios'!$C:$M,11,0)</f>
        <v>-73.355411</v>
      </c>
      <c r="J785" s="5" t="s">
        <v>23</v>
      </c>
      <c r="K785" s="5">
        <v>1065600058</v>
      </c>
      <c r="L785" s="5">
        <v>3123009293</v>
      </c>
      <c r="M785" s="5" t="s">
        <v>24</v>
      </c>
    </row>
    <row r="786" spans="1:13" ht="15.75" x14ac:dyDescent="0.25">
      <c r="A786" s="3">
        <v>6971</v>
      </c>
      <c r="B786" s="3">
        <v>300703</v>
      </c>
      <c r="C786" s="3" t="s">
        <v>1627</v>
      </c>
      <c r="D786" s="3" t="s">
        <v>1628</v>
      </c>
      <c r="E786" s="6">
        <v>6978</v>
      </c>
      <c r="F786" s="3" t="s">
        <v>91</v>
      </c>
      <c r="G786" s="3" t="s">
        <v>27</v>
      </c>
      <c r="H786" s="3" t="str">
        <f>VLOOKUP(B786,'[1]Select territorios'!$C:$L,10,0)</f>
        <v>10.0427</v>
      </c>
      <c r="I786" s="3" t="str">
        <f>VLOOKUP(B786,'[1]Select territorios'!$C:$M,11,0)</f>
        <v>-73.2257</v>
      </c>
      <c r="J786" s="5" t="s">
        <v>58</v>
      </c>
      <c r="K786" s="5">
        <v>1193146338</v>
      </c>
      <c r="L786" s="5">
        <v>3202114923</v>
      </c>
      <c r="M786" s="5" t="s">
        <v>59</v>
      </c>
    </row>
    <row r="787" spans="1:13" ht="15.75" x14ac:dyDescent="0.25">
      <c r="A787" s="3">
        <v>6971</v>
      </c>
      <c r="B787" s="3">
        <v>300445</v>
      </c>
      <c r="C787" s="3" t="s">
        <v>1629</v>
      </c>
      <c r="D787" s="3" t="s">
        <v>1630</v>
      </c>
      <c r="E787" s="6">
        <v>6994</v>
      </c>
      <c r="F787" s="3" t="s">
        <v>224</v>
      </c>
      <c r="G787" s="3" t="s">
        <v>22</v>
      </c>
      <c r="H787" s="3" t="str">
        <f>VLOOKUP(B787,'[1]Select territorios'!$C:$L,10,0)</f>
        <v>8.29133</v>
      </c>
      <c r="I787" s="3" t="str">
        <f>VLOOKUP(B787,'[1]Select territorios'!$C:$M,11,0)</f>
        <v>-73.38461</v>
      </c>
      <c r="J787" s="5" t="s">
        <v>107</v>
      </c>
      <c r="K787" s="5">
        <v>1005281494</v>
      </c>
      <c r="L787" s="5">
        <v>3158541035</v>
      </c>
      <c r="M787" s="5" t="s">
        <v>108</v>
      </c>
    </row>
    <row r="788" spans="1:13" ht="15.75" x14ac:dyDescent="0.25">
      <c r="A788" s="3">
        <v>6971</v>
      </c>
      <c r="B788" s="3">
        <v>300727</v>
      </c>
      <c r="C788" s="3" t="s">
        <v>1631</v>
      </c>
      <c r="D788" s="3" t="s">
        <v>1632</v>
      </c>
      <c r="E788" s="6">
        <v>6996</v>
      </c>
      <c r="F788" s="3" t="s">
        <v>113</v>
      </c>
      <c r="G788" s="3" t="s">
        <v>27</v>
      </c>
      <c r="H788" s="3" t="str">
        <f>VLOOKUP(B788,'[1]Select territorios'!$C:$L,10,0)</f>
        <v>7.71026</v>
      </c>
      <c r="I788" s="3" t="str">
        <f>VLOOKUP(B788,'[1]Select territorios'!$C:$M,11,0)</f>
        <v>-73.43161</v>
      </c>
      <c r="J788" s="5" t="s">
        <v>107</v>
      </c>
      <c r="K788" s="5">
        <v>1005281494</v>
      </c>
      <c r="L788" s="5">
        <v>3158541035</v>
      </c>
      <c r="M788" s="5" t="s">
        <v>108</v>
      </c>
    </row>
    <row r="789" spans="1:13" ht="15.75" x14ac:dyDescent="0.25">
      <c r="A789" s="3">
        <v>6971</v>
      </c>
      <c r="B789" s="3">
        <v>300725</v>
      </c>
      <c r="C789" s="3" t="s">
        <v>1633</v>
      </c>
      <c r="D789" s="3" t="s">
        <v>1634</v>
      </c>
      <c r="E789" s="6">
        <v>6997</v>
      </c>
      <c r="F789" s="3" t="s">
        <v>88</v>
      </c>
      <c r="G789" s="3" t="s">
        <v>1480</v>
      </c>
      <c r="H789" s="3" t="str">
        <f>VLOOKUP(B789,'[1]Select territorios'!$C:$L,10,0)</f>
        <v>10.2448</v>
      </c>
      <c r="I789" s="3" t="str">
        <f>VLOOKUP(B789,'[1]Select territorios'!$C:$M,11,0)</f>
        <v>-73.1471</v>
      </c>
      <c r="J789" s="5" t="s">
        <v>17</v>
      </c>
      <c r="K789" s="5">
        <v>15173890</v>
      </c>
      <c r="L789" s="5">
        <v>3002039991</v>
      </c>
      <c r="M789" s="5" t="s">
        <v>18</v>
      </c>
    </row>
    <row r="790" spans="1:13" ht="15.75" x14ac:dyDescent="0.25">
      <c r="A790" s="3">
        <v>6971</v>
      </c>
      <c r="B790" s="3">
        <v>300743</v>
      </c>
      <c r="C790" s="3" t="s">
        <v>1635</v>
      </c>
      <c r="D790" s="3" t="s">
        <v>1636</v>
      </c>
      <c r="E790" s="6">
        <v>6985</v>
      </c>
      <c r="F790" s="3" t="s">
        <v>101</v>
      </c>
      <c r="G790" s="3" t="s">
        <v>27</v>
      </c>
      <c r="H790" s="3" t="str">
        <f>VLOOKUP(B790,'[1]Select territorios'!$C:$L,10,0)</f>
        <v>9.5651135</v>
      </c>
      <c r="I790" s="3" t="str">
        <f>VLOOKUP(B790,'[1]Select territorios'!$C:$M,11,0)</f>
        <v>-73.3325749</v>
      </c>
      <c r="J790" s="5" t="s">
        <v>58</v>
      </c>
      <c r="K790" s="5">
        <v>1193146338</v>
      </c>
      <c r="L790" s="5">
        <v>3202114923</v>
      </c>
      <c r="M790" s="5" t="s">
        <v>59</v>
      </c>
    </row>
    <row r="791" spans="1:13" ht="15.75" x14ac:dyDescent="0.25">
      <c r="A791" s="3">
        <v>6971</v>
      </c>
      <c r="B791" s="3">
        <v>300744</v>
      </c>
      <c r="C791" s="3" t="s">
        <v>1637</v>
      </c>
      <c r="D791" s="3" t="s">
        <v>1638</v>
      </c>
      <c r="E791" s="6">
        <v>6985</v>
      </c>
      <c r="F791" s="3" t="s">
        <v>101</v>
      </c>
      <c r="G791" s="3" t="s">
        <v>27</v>
      </c>
      <c r="H791" s="3" t="str">
        <f>VLOOKUP(B791,'[1]Select territorios'!$C:$L,10,0)</f>
        <v>9.58742833</v>
      </c>
      <c r="I791" s="3" t="str">
        <f>VLOOKUP(B791,'[1]Select territorios'!$C:$M,11,0)</f>
        <v>-73.23341333</v>
      </c>
      <c r="J791" s="5" t="s">
        <v>58</v>
      </c>
      <c r="K791" s="5">
        <v>1193146338</v>
      </c>
      <c r="L791" s="5">
        <v>3202114923</v>
      </c>
      <c r="M791" s="5" t="s">
        <v>59</v>
      </c>
    </row>
    <row r="792" spans="1:13" ht="15.75" x14ac:dyDescent="0.25">
      <c r="A792" s="3">
        <v>6971</v>
      </c>
      <c r="B792" s="3">
        <v>300726</v>
      </c>
      <c r="C792" s="3" t="s">
        <v>1639</v>
      </c>
      <c r="D792" s="3" t="s">
        <v>1640</v>
      </c>
      <c r="E792" s="6">
        <v>6996</v>
      </c>
      <c r="F792" s="3" t="s">
        <v>113</v>
      </c>
      <c r="G792" s="3" t="s">
        <v>27</v>
      </c>
      <c r="H792" s="3" t="str">
        <f>VLOOKUP(B792,'[1]Select territorios'!$C:$L,10,0)</f>
        <v>7.83742</v>
      </c>
      <c r="I792" s="3" t="str">
        <f>VLOOKUP(B792,'[1]Select territorios'!$C:$M,11,0)</f>
        <v>-73.42864</v>
      </c>
      <c r="J792" s="5" t="s">
        <v>107</v>
      </c>
      <c r="K792" s="5">
        <v>1005281494</v>
      </c>
      <c r="L792" s="5">
        <v>3158541035</v>
      </c>
      <c r="M792" s="5" t="s">
        <v>108</v>
      </c>
    </row>
    <row r="793" spans="1:13" ht="15.75" x14ac:dyDescent="0.25">
      <c r="A793" s="3">
        <v>6971</v>
      </c>
      <c r="B793" s="3">
        <v>300763</v>
      </c>
      <c r="C793" s="3" t="s">
        <v>1641</v>
      </c>
      <c r="D793" s="3" t="s">
        <v>1642</v>
      </c>
      <c r="E793" s="6">
        <v>18936</v>
      </c>
      <c r="F793" s="3" t="s">
        <v>21</v>
      </c>
      <c r="G793" s="3" t="s">
        <v>27</v>
      </c>
      <c r="H793" s="3" t="str">
        <f>VLOOKUP(B793,'[1]Select territorios'!$C:$L,10,0)</f>
        <v>10.55708188</v>
      </c>
      <c r="I793" s="3" t="str">
        <f>VLOOKUP(B793,'[1]Select territorios'!$C:$M,11,0)</f>
        <v>-73.18386756</v>
      </c>
      <c r="J793" s="5" t="s">
        <v>23</v>
      </c>
      <c r="K793" s="5">
        <v>1065600058</v>
      </c>
      <c r="L793" s="5">
        <v>3123009293</v>
      </c>
      <c r="M793" s="5" t="s">
        <v>24</v>
      </c>
    </row>
    <row r="794" spans="1:13" ht="15.75" x14ac:dyDescent="0.25">
      <c r="A794" s="3">
        <v>6971</v>
      </c>
      <c r="B794" s="3">
        <v>300764</v>
      </c>
      <c r="C794" s="3" t="s">
        <v>1643</v>
      </c>
      <c r="D794" s="3" t="s">
        <v>1644</v>
      </c>
      <c r="E794" s="6">
        <v>6982</v>
      </c>
      <c r="F794" s="3" t="s">
        <v>118</v>
      </c>
      <c r="G794" s="3" t="s">
        <v>27</v>
      </c>
      <c r="H794" s="3" t="str">
        <f>VLOOKUP(B794,'[1]Select territorios'!$C:$L,10,0)</f>
        <v>8.30860</v>
      </c>
      <c r="I794" s="3" t="str">
        <f>VLOOKUP(B794,'[1]Select territorios'!$C:$M,11,0)</f>
        <v>-73.62803</v>
      </c>
      <c r="J794" s="5" t="s">
        <v>107</v>
      </c>
      <c r="K794" s="5">
        <v>1005281494</v>
      </c>
      <c r="L794" s="5">
        <v>3158541035</v>
      </c>
      <c r="M794" s="5" t="s">
        <v>108</v>
      </c>
    </row>
    <row r="795" spans="1:13" ht="15.75" x14ac:dyDescent="0.25">
      <c r="A795" s="3">
        <v>6971</v>
      </c>
      <c r="B795" s="3">
        <v>300765</v>
      </c>
      <c r="C795" s="3" t="s">
        <v>1645</v>
      </c>
      <c r="D795" s="3" t="s">
        <v>1646</v>
      </c>
      <c r="E795" s="6">
        <v>8561</v>
      </c>
      <c r="F795" s="3" t="s">
        <v>168</v>
      </c>
      <c r="G795" s="3" t="s">
        <v>27</v>
      </c>
      <c r="H795" s="3" t="str">
        <f>VLOOKUP(B795,'[1]Select territorios'!$C:$L,10,0)</f>
        <v>8.29548559</v>
      </c>
      <c r="I795" s="3" t="str">
        <f>VLOOKUP(B795,'[1]Select territorios'!$C:$M,11,0)</f>
        <v>-73.61663709</v>
      </c>
      <c r="J795" s="5" t="s">
        <v>107</v>
      </c>
      <c r="K795" s="5">
        <v>1005281494</v>
      </c>
      <c r="L795" s="5">
        <v>3158541035</v>
      </c>
      <c r="M795" s="5" t="s">
        <v>108</v>
      </c>
    </row>
    <row r="796" spans="1:13" ht="15.75" x14ac:dyDescent="0.25">
      <c r="A796" s="3">
        <v>6971</v>
      </c>
      <c r="B796" s="3">
        <v>300781</v>
      </c>
      <c r="C796" s="3" t="s">
        <v>1647</v>
      </c>
      <c r="D796" s="3" t="s">
        <v>1648</v>
      </c>
      <c r="E796" s="6">
        <v>45388</v>
      </c>
      <c r="F796" s="3" t="s">
        <v>196</v>
      </c>
      <c r="G796" s="3" t="s">
        <v>27</v>
      </c>
      <c r="H796" s="3" t="str">
        <f>VLOOKUP(B796,'[1]Select territorios'!$C:$L,10,0)</f>
        <v>9.981028</v>
      </c>
      <c r="I796" s="3" t="str">
        <f>VLOOKUP(B796,'[1]Select territorios'!$C:$M,11,0)</f>
        <v>-73.892769</v>
      </c>
      <c r="J796" s="5" t="s">
        <v>48</v>
      </c>
      <c r="K796" s="5">
        <v>1064795379</v>
      </c>
      <c r="L796" s="5">
        <v>3104688587</v>
      </c>
      <c r="M796" s="5" t="s">
        <v>49</v>
      </c>
    </row>
    <row r="797" spans="1:13" ht="15.75" x14ac:dyDescent="0.25">
      <c r="A797" s="3">
        <v>6971</v>
      </c>
      <c r="B797" s="3">
        <v>300762</v>
      </c>
      <c r="C797" s="3" t="s">
        <v>1649</v>
      </c>
      <c r="D797" s="3" t="s">
        <v>1650</v>
      </c>
      <c r="E797" s="6">
        <v>18936</v>
      </c>
      <c r="F797" s="3" t="s">
        <v>21</v>
      </c>
      <c r="G797" s="3" t="s">
        <v>27</v>
      </c>
      <c r="H797" s="3" t="str">
        <f>VLOOKUP(B797,'[1]Select territorios'!$C:$L,10,0)</f>
        <v>10.478256233</v>
      </c>
      <c r="I797" s="3" t="str">
        <f>VLOOKUP(B797,'[1]Select territorios'!$C:$M,11,0)</f>
        <v>-73.2530046</v>
      </c>
      <c r="J797" s="5" t="s">
        <v>23</v>
      </c>
      <c r="K797" s="5">
        <v>1065600058</v>
      </c>
      <c r="L797" s="5">
        <v>3123009293</v>
      </c>
      <c r="M797" s="5" t="s">
        <v>24</v>
      </c>
    </row>
    <row r="798" spans="1:13" ht="15.75" x14ac:dyDescent="0.25">
      <c r="A798" s="3">
        <v>6971</v>
      </c>
      <c r="B798" s="3">
        <v>300776</v>
      </c>
      <c r="C798" s="3" t="s">
        <v>1651</v>
      </c>
      <c r="D798" s="3" t="s">
        <v>1652</v>
      </c>
      <c r="E798" s="6">
        <v>6998</v>
      </c>
      <c r="F798" s="3" t="s">
        <v>106</v>
      </c>
      <c r="G798" s="3" t="s">
        <v>27</v>
      </c>
      <c r="H798" s="3" t="str">
        <f>VLOOKUP(B798,'[1]Select territorios'!$C:$L,10,0)</f>
        <v>7.87855166</v>
      </c>
      <c r="I798" s="3" t="str">
        <f>VLOOKUP(B798,'[1]Select territorios'!$C:$M,11,0)</f>
        <v>-73.65726333</v>
      </c>
      <c r="J798" s="5" t="s">
        <v>107</v>
      </c>
      <c r="K798" s="5">
        <v>1005281494</v>
      </c>
      <c r="L798" s="5">
        <v>3158541035</v>
      </c>
      <c r="M798" s="5" t="s">
        <v>108</v>
      </c>
    </row>
    <row r="799" spans="1:13" ht="15.75" x14ac:dyDescent="0.25">
      <c r="A799" s="3">
        <v>6971</v>
      </c>
      <c r="B799" s="3">
        <v>300786</v>
      </c>
      <c r="C799" s="3" t="s">
        <v>1653</v>
      </c>
      <c r="D799" s="3" t="s">
        <v>1654</v>
      </c>
      <c r="E799" s="6">
        <v>8560</v>
      </c>
      <c r="F799" s="3" t="s">
        <v>161</v>
      </c>
      <c r="G799" s="3" t="s">
        <v>27</v>
      </c>
      <c r="H799" s="3" t="str">
        <f>VLOOKUP(B799,'[1]Select territorios'!$C:$L,10,0)</f>
        <v>8.31984</v>
      </c>
      <c r="I799" s="3" t="str">
        <f>VLOOKUP(B799,'[1]Select territorios'!$C:$M,11,0)</f>
        <v>-73.59632</v>
      </c>
      <c r="J799" s="5" t="s">
        <v>107</v>
      </c>
      <c r="K799" s="5">
        <v>1005281494</v>
      </c>
      <c r="L799" s="5">
        <v>3158541035</v>
      </c>
      <c r="M799" s="5" t="s">
        <v>108</v>
      </c>
    </row>
    <row r="800" spans="1:13" ht="15.75" x14ac:dyDescent="0.25">
      <c r="A800" s="3">
        <v>6971</v>
      </c>
      <c r="B800" s="3">
        <v>300808</v>
      </c>
      <c r="C800" s="3" t="s">
        <v>1655</v>
      </c>
      <c r="D800" s="3" t="s">
        <v>1656</v>
      </c>
      <c r="E800" s="6">
        <v>6986</v>
      </c>
      <c r="F800" s="3" t="s">
        <v>294</v>
      </c>
      <c r="G800" s="3" t="s">
        <v>27</v>
      </c>
      <c r="H800" s="3" t="str">
        <f>VLOOKUP(B800,'[1]Select territorios'!$C:$L,10,0)</f>
        <v>9.624216</v>
      </c>
      <c r="I800" s="3" t="str">
        <f>VLOOKUP(B800,'[1]Select territorios'!$C:$M,11,0)</f>
        <v>-73.599003</v>
      </c>
      <c r="J800" s="5" t="s">
        <v>48</v>
      </c>
      <c r="K800" s="5">
        <v>1064795379</v>
      </c>
      <c r="L800" s="5">
        <v>3104688587</v>
      </c>
      <c r="M800" s="5" t="s">
        <v>49</v>
      </c>
    </row>
    <row r="801" spans="1:13" ht="15.75" x14ac:dyDescent="0.25">
      <c r="A801" s="3">
        <v>6971</v>
      </c>
      <c r="B801" s="3">
        <v>300809</v>
      </c>
      <c r="C801" s="3" t="s">
        <v>1657</v>
      </c>
      <c r="D801" s="3" t="s">
        <v>1658</v>
      </c>
      <c r="E801" s="6">
        <v>6986</v>
      </c>
      <c r="F801" s="3" t="s">
        <v>294</v>
      </c>
      <c r="G801" s="3" t="s">
        <v>27</v>
      </c>
      <c r="H801" s="3" t="str">
        <f>VLOOKUP(B801,'[1]Select territorios'!$C:$L,10,0)</f>
        <v>9.625326</v>
      </c>
      <c r="I801" s="3" t="str">
        <f>VLOOKUP(B801,'[1]Select territorios'!$C:$M,11,0)</f>
        <v>-73.589332</v>
      </c>
      <c r="J801" s="5" t="s">
        <v>48</v>
      </c>
      <c r="K801" s="5">
        <v>1064795379</v>
      </c>
      <c r="L801" s="5">
        <v>3104688587</v>
      </c>
      <c r="M801" s="5" t="s">
        <v>49</v>
      </c>
    </row>
    <row r="802" spans="1:13" ht="15.75" x14ac:dyDescent="0.25">
      <c r="A802" s="3">
        <v>6971</v>
      </c>
      <c r="B802" s="3">
        <v>300810</v>
      </c>
      <c r="C802" s="3" t="s">
        <v>1659</v>
      </c>
      <c r="D802" s="3" t="s">
        <v>1660</v>
      </c>
      <c r="E802" s="6">
        <v>6986</v>
      </c>
      <c r="F802" s="3" t="s">
        <v>294</v>
      </c>
      <c r="G802" s="3" t="s">
        <v>27</v>
      </c>
      <c r="H802" s="3" t="str">
        <f>VLOOKUP(B802,'[1]Select territorios'!$C:$L,10,0)</f>
        <v>9.623866</v>
      </c>
      <c r="I802" s="3" t="str">
        <f>VLOOKUP(B802,'[1]Select territorios'!$C:$M,11,0)</f>
        <v>-73.586365</v>
      </c>
      <c r="J802" s="5" t="s">
        <v>48</v>
      </c>
      <c r="K802" s="5">
        <v>1064795379</v>
      </c>
      <c r="L802" s="5">
        <v>3104688587</v>
      </c>
      <c r="M802" s="5" t="s">
        <v>49</v>
      </c>
    </row>
    <row r="803" spans="1:13" ht="15.75" x14ac:dyDescent="0.25">
      <c r="A803" s="3">
        <v>6971</v>
      </c>
      <c r="B803" s="3">
        <v>300812</v>
      </c>
      <c r="C803" s="3" t="s">
        <v>1661</v>
      </c>
      <c r="D803" s="3" t="s">
        <v>1662</v>
      </c>
      <c r="E803" s="6">
        <v>6979</v>
      </c>
      <c r="F803" s="3" t="s">
        <v>57</v>
      </c>
      <c r="G803" s="3" t="s">
        <v>27</v>
      </c>
      <c r="H803" s="3" t="str">
        <f>VLOOKUP(B803,'[1]Select territorios'!$C:$L,10,0)</f>
        <v>9.200475</v>
      </c>
      <c r="I803" s="3" t="str">
        <f>VLOOKUP(B803,'[1]Select territorios'!$C:$M,11,0)</f>
        <v>-73.528872</v>
      </c>
      <c r="J803" s="5" t="s">
        <v>58</v>
      </c>
      <c r="K803" s="5">
        <v>1193146338</v>
      </c>
      <c r="L803" s="5">
        <v>3202114923</v>
      </c>
      <c r="M803" s="5" t="s">
        <v>59</v>
      </c>
    </row>
    <row r="804" spans="1:13" ht="15.75" x14ac:dyDescent="0.25">
      <c r="A804" s="3">
        <v>6971</v>
      </c>
      <c r="B804" s="3">
        <v>300790</v>
      </c>
      <c r="C804" s="3" t="s">
        <v>1663</v>
      </c>
      <c r="D804" s="3" t="s">
        <v>1664</v>
      </c>
      <c r="E804" s="6">
        <v>6999</v>
      </c>
      <c r="F804" s="3" t="s">
        <v>260</v>
      </c>
      <c r="G804" s="3" t="s">
        <v>1480</v>
      </c>
      <c r="H804" s="3" t="str">
        <f>VLOOKUP(B804,'[1]Select territorios'!$C:$L,10,0)</f>
        <v>8.858869</v>
      </c>
      <c r="I804" s="3" t="str">
        <f>VLOOKUP(B804,'[1]Select territorios'!$C:$M,11,0)</f>
        <v>-73.8173399</v>
      </c>
      <c r="J804" s="5" t="s">
        <v>71</v>
      </c>
      <c r="K804" s="5">
        <v>1065818056</v>
      </c>
      <c r="L804" s="5">
        <v>3145467066</v>
      </c>
      <c r="M804" s="5" t="s">
        <v>72</v>
      </c>
    </row>
    <row r="805" spans="1:13" ht="15.75" x14ac:dyDescent="0.25">
      <c r="A805" s="3">
        <v>6971</v>
      </c>
      <c r="B805" s="3">
        <v>300830</v>
      </c>
      <c r="C805" s="3" t="s">
        <v>1665</v>
      </c>
      <c r="D805" s="3" t="s">
        <v>1666</v>
      </c>
      <c r="E805" s="6">
        <v>6972</v>
      </c>
      <c r="F805" s="3" t="s">
        <v>173</v>
      </c>
      <c r="G805" s="3" t="s">
        <v>27</v>
      </c>
      <c r="H805" s="3" t="str">
        <f>VLOOKUP(B805,'[1]Select territorios'!$C:$L,10,0)</f>
        <v>8.30799865</v>
      </c>
      <c r="I805" s="3" t="str">
        <f>VLOOKUP(B805,'[1]Select territorios'!$C:$M,11,0)</f>
        <v>-73.60335518</v>
      </c>
      <c r="J805" s="5" t="s">
        <v>71</v>
      </c>
      <c r="K805" s="5">
        <v>1065818056</v>
      </c>
      <c r="L805" s="5">
        <v>3145467066</v>
      </c>
      <c r="M805" s="5" t="s">
        <v>72</v>
      </c>
    </row>
    <row r="806" spans="1:13" ht="15.75" x14ac:dyDescent="0.25">
      <c r="A806" s="3">
        <v>6971</v>
      </c>
      <c r="B806" s="3">
        <v>300791</v>
      </c>
      <c r="C806" s="3" t="s">
        <v>1667</v>
      </c>
      <c r="D806" s="3" t="s">
        <v>1668</v>
      </c>
      <c r="E806" s="6">
        <v>6997</v>
      </c>
      <c r="F806" s="3" t="s">
        <v>88</v>
      </c>
      <c r="G806" s="3" t="s">
        <v>1480</v>
      </c>
      <c r="H806" s="3" t="str">
        <f>VLOOKUP(B806,'[1]Select territorios'!$C:$L,10,0)</f>
        <v>10.3331</v>
      </c>
      <c r="I806" s="3" t="str">
        <f>VLOOKUP(B806,'[1]Select territorios'!$C:$M,11,0)</f>
        <v>-73.1856</v>
      </c>
      <c r="J806" s="5" t="s">
        <v>17</v>
      </c>
      <c r="K806" s="5">
        <v>15173890</v>
      </c>
      <c r="L806" s="5">
        <v>3002039991</v>
      </c>
      <c r="M806" s="5" t="s">
        <v>18</v>
      </c>
    </row>
    <row r="807" spans="1:13" ht="15.75" x14ac:dyDescent="0.25">
      <c r="A807" s="3">
        <v>6971</v>
      </c>
      <c r="B807" s="3">
        <v>300832</v>
      </c>
      <c r="C807" s="3" t="s">
        <v>1669</v>
      </c>
      <c r="D807" s="3" t="s">
        <v>1670</v>
      </c>
      <c r="E807" s="6">
        <v>6996</v>
      </c>
      <c r="F807" s="3" t="s">
        <v>113</v>
      </c>
      <c r="G807" s="3" t="s">
        <v>27</v>
      </c>
      <c r="H807" s="3" t="str">
        <f>VLOOKUP(B807,'[1]Select territorios'!$C:$L,10,0)</f>
        <v>7.76134786</v>
      </c>
      <c r="I807" s="3" t="str">
        <f>VLOOKUP(B807,'[1]Select territorios'!$C:$M,11,0)</f>
        <v>-73.39215014</v>
      </c>
      <c r="J807" s="5" t="s">
        <v>107</v>
      </c>
      <c r="K807" s="5">
        <v>1005281494</v>
      </c>
      <c r="L807" s="5">
        <v>3158541035</v>
      </c>
      <c r="M807" s="5" t="s">
        <v>108</v>
      </c>
    </row>
    <row r="808" spans="1:13" ht="15.75" x14ac:dyDescent="0.25">
      <c r="A808" s="3">
        <v>6971</v>
      </c>
      <c r="B808" s="3">
        <v>300852</v>
      </c>
      <c r="C808" s="3" t="s">
        <v>1671</v>
      </c>
      <c r="D808" s="3" t="s">
        <v>1672</v>
      </c>
      <c r="E808" s="6">
        <v>6976</v>
      </c>
      <c r="F808" s="3" t="s">
        <v>96</v>
      </c>
      <c r="G808" s="3" t="s">
        <v>27</v>
      </c>
      <c r="H808" s="3" t="str">
        <f>VLOOKUP(B808,'[1]Select territorios'!$C:$L,10,0)</f>
        <v>9.2129</v>
      </c>
      <c r="I808" s="3" t="str">
        <f>VLOOKUP(B808,'[1]Select territorios'!$C:$M,11,0)</f>
        <v>-73.8817</v>
      </c>
      <c r="J808" s="5" t="s">
        <v>48</v>
      </c>
      <c r="K808" s="5">
        <v>1064795379</v>
      </c>
      <c r="L808" s="5">
        <v>3104688587</v>
      </c>
      <c r="M808" s="5" t="s">
        <v>49</v>
      </c>
    </row>
    <row r="809" spans="1:13" ht="15.75" x14ac:dyDescent="0.25">
      <c r="A809" s="3">
        <v>6971</v>
      </c>
      <c r="B809" s="3">
        <v>300831</v>
      </c>
      <c r="C809" s="3" t="s">
        <v>1673</v>
      </c>
      <c r="D809" s="3" t="s">
        <v>1674</v>
      </c>
      <c r="E809" s="6">
        <v>6991</v>
      </c>
      <c r="F809" s="3" t="s">
        <v>70</v>
      </c>
      <c r="G809" s="3" t="s">
        <v>27</v>
      </c>
      <c r="H809" s="3" t="str">
        <f>VLOOKUP(B809,'[1]Select territorios'!$C:$L,10,0)</f>
        <v>8.6889679</v>
      </c>
      <c r="I809" s="3" t="str">
        <f>VLOOKUP(B809,'[1]Select territorios'!$C:$M,11,0)</f>
        <v>-73.66288379</v>
      </c>
      <c r="J809" s="5" t="s">
        <v>71</v>
      </c>
      <c r="K809" s="5">
        <v>1065818056</v>
      </c>
      <c r="L809" s="5">
        <v>3145467066</v>
      </c>
      <c r="M809" s="5" t="s">
        <v>72</v>
      </c>
    </row>
    <row r="810" spans="1:13" ht="15.75" x14ac:dyDescent="0.25">
      <c r="A810" s="3">
        <v>6971</v>
      </c>
      <c r="B810" s="3">
        <v>300851</v>
      </c>
      <c r="C810" s="3" t="s">
        <v>1675</v>
      </c>
      <c r="D810" s="3" t="s">
        <v>1676</v>
      </c>
      <c r="E810" s="7">
        <v>6974</v>
      </c>
      <c r="F810" s="3" t="s">
        <v>123</v>
      </c>
      <c r="G810" s="3" t="s">
        <v>27</v>
      </c>
      <c r="H810" s="3" t="str">
        <f>VLOOKUP(B810,'[1]Select territorios'!$C:$L,10,0)</f>
        <v>9.70378</v>
      </c>
      <c r="I810" s="3" t="str">
        <f>VLOOKUP(B810,'[1]Select territorios'!$C:$M,11,0)</f>
        <v>-73.26799</v>
      </c>
      <c r="J810" s="5" t="s">
        <v>58</v>
      </c>
      <c r="K810" s="5">
        <v>1193146338</v>
      </c>
      <c r="L810" s="5">
        <v>3202114923</v>
      </c>
      <c r="M810" s="5" t="s">
        <v>59</v>
      </c>
    </row>
    <row r="811" spans="1:13" ht="15.75" x14ac:dyDescent="0.25">
      <c r="A811" s="3">
        <v>6971</v>
      </c>
      <c r="B811" s="3">
        <v>300865</v>
      </c>
      <c r="C811" s="3" t="s">
        <v>1677</v>
      </c>
      <c r="D811" s="3" t="s">
        <v>1678</v>
      </c>
      <c r="E811" s="7">
        <v>6979</v>
      </c>
      <c r="F811" s="3" t="s">
        <v>57</v>
      </c>
      <c r="G811" s="3" t="s">
        <v>27</v>
      </c>
      <c r="H811" s="3" t="str">
        <f>VLOOKUP(B811,'[1]Select territorios'!$C:$L,10,0)</f>
        <v>9.195873</v>
      </c>
      <c r="I811" s="3" t="str">
        <f>VLOOKUP(B811,'[1]Select territorios'!$C:$M,11,0)</f>
        <v>-73.549575</v>
      </c>
      <c r="J811" s="5" t="s">
        <v>58</v>
      </c>
      <c r="K811" s="5">
        <v>1193146338</v>
      </c>
      <c r="L811" s="5">
        <v>3202114923</v>
      </c>
      <c r="M811" s="5" t="s">
        <v>59</v>
      </c>
    </row>
    <row r="812" spans="1:13" ht="15.75" x14ac:dyDescent="0.25">
      <c r="A812" s="3">
        <v>6971</v>
      </c>
      <c r="B812" s="3">
        <v>300875</v>
      </c>
      <c r="C812" s="3" t="s">
        <v>1679</v>
      </c>
      <c r="D812" s="3" t="s">
        <v>1680</v>
      </c>
      <c r="E812" s="6">
        <v>6974</v>
      </c>
      <c r="F812" s="3" t="s">
        <v>123</v>
      </c>
      <c r="G812" s="3" t="s">
        <v>27</v>
      </c>
      <c r="H812" s="3" t="str">
        <f>VLOOKUP(B812,'[1]Select territorios'!$C:$L,10,0)</f>
        <v>9.69906</v>
      </c>
      <c r="I812" s="3" t="str">
        <f>VLOOKUP(B812,'[1]Select territorios'!$C:$M,11,0)</f>
        <v>-73.27787</v>
      </c>
      <c r="J812" s="5" t="s">
        <v>58</v>
      </c>
      <c r="K812" s="5">
        <v>1193146338</v>
      </c>
      <c r="L812" s="5">
        <v>3202114923</v>
      </c>
      <c r="M812" s="5" t="s">
        <v>59</v>
      </c>
    </row>
    <row r="813" spans="1:13" ht="15.75" x14ac:dyDescent="0.25">
      <c r="A813" s="3">
        <v>6971</v>
      </c>
      <c r="B813" s="3">
        <v>300874</v>
      </c>
      <c r="C813" s="3" t="s">
        <v>1681</v>
      </c>
      <c r="D813" s="3" t="s">
        <v>1682</v>
      </c>
      <c r="E813" s="6">
        <v>8560</v>
      </c>
      <c r="F813" s="3" t="s">
        <v>161</v>
      </c>
      <c r="G813" s="3" t="s">
        <v>27</v>
      </c>
      <c r="H813" s="3" t="str">
        <f>VLOOKUP(B813,'[1]Select territorios'!$C:$L,10,0)</f>
        <v>8.31656</v>
      </c>
      <c r="I813" s="3" t="str">
        <f>VLOOKUP(B813,'[1]Select territorios'!$C:$M,11,0)</f>
        <v>-73.60572</v>
      </c>
      <c r="J813" s="5" t="s">
        <v>107</v>
      </c>
      <c r="K813" s="5">
        <v>1005281494</v>
      </c>
      <c r="L813" s="5">
        <v>3158541035</v>
      </c>
      <c r="M813" s="5" t="s">
        <v>108</v>
      </c>
    </row>
    <row r="814" spans="1:13" ht="15.75" x14ac:dyDescent="0.25">
      <c r="A814" s="3">
        <v>6971</v>
      </c>
      <c r="B814" s="3">
        <v>300893</v>
      </c>
      <c r="C814" s="3" t="s">
        <v>1683</v>
      </c>
      <c r="D814" s="3" t="s">
        <v>1684</v>
      </c>
      <c r="E814" s="6">
        <v>6986</v>
      </c>
      <c r="F814" s="3" t="s">
        <v>294</v>
      </c>
      <c r="G814" s="3" t="s">
        <v>27</v>
      </c>
      <c r="H814" s="3" t="str">
        <f>VLOOKUP(B814,'[1]Select territorios'!$C:$L,10,0)</f>
        <v>9.62000708</v>
      </c>
      <c r="I814" s="3" t="str">
        <f>VLOOKUP(B814,'[1]Select territorios'!$C:$M,11,0)</f>
        <v>-73.60163893</v>
      </c>
      <c r="J814" s="5" t="s">
        <v>48</v>
      </c>
      <c r="K814" s="5">
        <v>1064795379</v>
      </c>
      <c r="L814" s="5">
        <v>3104688587</v>
      </c>
      <c r="M814" s="5" t="s">
        <v>49</v>
      </c>
    </row>
    <row r="815" spans="1:13" ht="15.75" x14ac:dyDescent="0.25">
      <c r="A815" s="3">
        <v>6971</v>
      </c>
      <c r="B815" s="3">
        <v>300906</v>
      </c>
      <c r="C815" s="3" t="s">
        <v>1685</v>
      </c>
      <c r="D815" s="3" t="s">
        <v>1686</v>
      </c>
      <c r="E815" s="6">
        <v>6976</v>
      </c>
      <c r="F815" s="3" t="s">
        <v>96</v>
      </c>
      <c r="G815" s="3" t="s">
        <v>27</v>
      </c>
      <c r="H815" s="3" t="str">
        <f>VLOOKUP(B815,'[1]Select territorios'!$C:$L,10,0)</f>
        <v>9.1943</v>
      </c>
      <c r="I815" s="3" t="str">
        <f>VLOOKUP(B815,'[1]Select territorios'!$C:$M,11,0)</f>
        <v>-73.7309</v>
      </c>
      <c r="J815" s="5" t="s">
        <v>48</v>
      </c>
      <c r="K815" s="5">
        <v>1064795379</v>
      </c>
      <c r="L815" s="5">
        <v>3104688587</v>
      </c>
      <c r="M815" s="5" t="s">
        <v>49</v>
      </c>
    </row>
    <row r="816" spans="1:13" ht="15.75" x14ac:dyDescent="0.25">
      <c r="A816" s="3">
        <v>6971</v>
      </c>
      <c r="B816" s="3">
        <v>300889</v>
      </c>
      <c r="C816" s="3" t="s">
        <v>1687</v>
      </c>
      <c r="D816" s="3" t="s">
        <v>1688</v>
      </c>
      <c r="E816" s="6">
        <v>8561</v>
      </c>
      <c r="F816" s="3" t="s">
        <v>168</v>
      </c>
      <c r="G816" s="3" t="s">
        <v>27</v>
      </c>
      <c r="H816" s="3" t="str">
        <f>VLOOKUP(B816,'[1]Select territorios'!$C:$L,10,0)</f>
        <v>8.29104173</v>
      </c>
      <c r="I816" s="3" t="str">
        <f>VLOOKUP(B816,'[1]Select territorios'!$C:$M,11,0)</f>
        <v>-73.6202563</v>
      </c>
      <c r="J816" s="5" t="s">
        <v>107</v>
      </c>
      <c r="K816" s="5">
        <v>1005281494</v>
      </c>
      <c r="L816" s="5">
        <v>3158541035</v>
      </c>
      <c r="M816" s="5" t="s">
        <v>108</v>
      </c>
    </row>
    <row r="817" spans="1:13" ht="15.75" x14ac:dyDescent="0.25">
      <c r="A817" s="3">
        <v>6971</v>
      </c>
      <c r="B817" s="3">
        <v>300904</v>
      </c>
      <c r="C817" s="3" t="s">
        <v>1689</v>
      </c>
      <c r="D817" s="3" t="s">
        <v>1690</v>
      </c>
      <c r="E817" s="6">
        <v>6991</v>
      </c>
      <c r="F817" s="3" t="s">
        <v>70</v>
      </c>
      <c r="G817" s="3" t="s">
        <v>27</v>
      </c>
      <c r="H817" s="3" t="str">
        <f>VLOOKUP(B817,'[1]Select territorios'!$C:$L,10,0)</f>
        <v>8.6996124</v>
      </c>
      <c r="I817" s="3" t="str">
        <f>VLOOKUP(B817,'[1]Select territorios'!$C:$M,11,0)</f>
        <v>-73.6710524</v>
      </c>
      <c r="J817" s="5" t="s">
        <v>71</v>
      </c>
      <c r="K817" s="5">
        <v>1065818056</v>
      </c>
      <c r="L817" s="5">
        <v>3145467066</v>
      </c>
      <c r="M817" s="5" t="s">
        <v>72</v>
      </c>
    </row>
    <row r="818" spans="1:13" ht="15.75" x14ac:dyDescent="0.25">
      <c r="A818" s="3">
        <v>6971</v>
      </c>
      <c r="B818" s="3">
        <v>300936</v>
      </c>
      <c r="C818" s="3" t="s">
        <v>1691</v>
      </c>
      <c r="D818" s="3" t="s">
        <v>1692</v>
      </c>
      <c r="E818" s="6">
        <v>6975</v>
      </c>
      <c r="F818" s="3" t="s">
        <v>78</v>
      </c>
      <c r="G818" s="3" t="s">
        <v>27</v>
      </c>
      <c r="H818" s="3" t="str">
        <f>VLOOKUP(B818,'[1]Select territorios'!$C:$L,10,0)</f>
        <v>10.07856</v>
      </c>
      <c r="I818" s="3" t="str">
        <f>VLOOKUP(B818,'[1]Select territorios'!$C:$M,11,0)</f>
        <v>-73.73754</v>
      </c>
      <c r="J818" s="5" t="s">
        <v>48</v>
      </c>
      <c r="K818" s="5">
        <v>1064795379</v>
      </c>
      <c r="L818" s="5">
        <v>3104688587</v>
      </c>
      <c r="M818" s="5" t="s">
        <v>49</v>
      </c>
    </row>
    <row r="819" spans="1:13" ht="15.75" x14ac:dyDescent="0.25">
      <c r="A819" s="3">
        <v>6971</v>
      </c>
      <c r="B819" s="3">
        <v>300954</v>
      </c>
      <c r="C819" s="3" t="s">
        <v>1693</v>
      </c>
      <c r="D819" s="3" t="s">
        <v>1694</v>
      </c>
      <c r="E819" s="6">
        <v>8562</v>
      </c>
      <c r="F819" s="3" t="s">
        <v>213</v>
      </c>
      <c r="G819" s="3" t="s">
        <v>27</v>
      </c>
      <c r="H819" s="3" t="str">
        <f>VLOOKUP(B819,'[1]Select territorios'!$C:$L,10,0)</f>
        <v>8.293775</v>
      </c>
      <c r="I819" s="3" t="str">
        <f>VLOOKUP(B819,'[1]Select territorios'!$C:$M,11,0)</f>
        <v>-73.631705</v>
      </c>
      <c r="J819" s="5" t="s">
        <v>71</v>
      </c>
      <c r="K819" s="5">
        <v>1065818056</v>
      </c>
      <c r="L819" s="5">
        <v>3145467066</v>
      </c>
      <c r="M819" s="5" t="s">
        <v>72</v>
      </c>
    </row>
    <row r="820" spans="1:13" ht="15.75" x14ac:dyDescent="0.25">
      <c r="A820" s="3">
        <v>6971</v>
      </c>
      <c r="B820" s="3">
        <v>300968</v>
      </c>
      <c r="C820" s="3" t="s">
        <v>1695</v>
      </c>
      <c r="D820" s="3" t="s">
        <v>1696</v>
      </c>
      <c r="E820" s="6">
        <v>6973</v>
      </c>
      <c r="F820" s="3" t="s">
        <v>128</v>
      </c>
      <c r="G820" s="3" t="s">
        <v>27</v>
      </c>
      <c r="H820" s="3" t="str">
        <f>VLOOKUP(B820,'[1]Select territorios'!$C:$L,10,0)</f>
        <v>9.496762</v>
      </c>
      <c r="I820" s="3" t="str">
        <f>VLOOKUP(B820,'[1]Select territorios'!$C:$M,11,0)</f>
        <v>-73.972510</v>
      </c>
      <c r="J820" s="5" t="s">
        <v>48</v>
      </c>
      <c r="K820" s="5">
        <v>1064795379</v>
      </c>
      <c r="L820" s="5">
        <v>3104688587</v>
      </c>
      <c r="M820" s="5" t="s">
        <v>49</v>
      </c>
    </row>
    <row r="821" spans="1:13" ht="15.75" x14ac:dyDescent="0.25">
      <c r="A821" s="3">
        <v>6971</v>
      </c>
      <c r="B821" s="3">
        <v>300932</v>
      </c>
      <c r="C821" s="3" t="s">
        <v>1697</v>
      </c>
      <c r="D821" s="3" t="s">
        <v>1698</v>
      </c>
      <c r="E821" s="6">
        <v>17191</v>
      </c>
      <c r="F821" s="3" t="s">
        <v>186</v>
      </c>
      <c r="G821" s="3" t="s">
        <v>27</v>
      </c>
      <c r="H821" s="3" t="str">
        <f>VLOOKUP(B821,'[1]Select territorios'!$C:$L,10,0)</f>
        <v>10.45364</v>
      </c>
      <c r="I821" s="3" t="str">
        <f>VLOOKUP(B821,'[1]Select territorios'!$C:$M,11,0)</f>
        <v>-73.28050</v>
      </c>
      <c r="J821" s="5" t="s">
        <v>17</v>
      </c>
      <c r="K821" s="5">
        <v>15173890</v>
      </c>
      <c r="L821" s="5">
        <v>3002039991</v>
      </c>
      <c r="M821" s="5" t="s">
        <v>18</v>
      </c>
    </row>
    <row r="822" spans="1:13" ht="15.75" x14ac:dyDescent="0.25">
      <c r="A822" s="3">
        <v>6971</v>
      </c>
      <c r="B822" s="3">
        <v>300912</v>
      </c>
      <c r="C822" s="3" t="s">
        <v>1699</v>
      </c>
      <c r="D822" s="3" t="s">
        <v>1700</v>
      </c>
      <c r="E822" s="6">
        <v>6999</v>
      </c>
      <c r="F822" s="3" t="s">
        <v>260</v>
      </c>
      <c r="G822" s="3" t="s">
        <v>1480</v>
      </c>
      <c r="H822" s="3" t="str">
        <f>VLOOKUP(B822,'[1]Select territorios'!$C:$L,10,0)</f>
        <v>8.85791</v>
      </c>
      <c r="I822" s="3" t="str">
        <f>VLOOKUP(B822,'[1]Select territorios'!$C:$M,11,0)</f>
        <v>-73.812676</v>
      </c>
      <c r="J822" s="5" t="s">
        <v>71</v>
      </c>
      <c r="K822" s="5">
        <v>1065818056</v>
      </c>
      <c r="L822" s="5">
        <v>3145467066</v>
      </c>
      <c r="M822" s="5" t="s">
        <v>72</v>
      </c>
    </row>
    <row r="823" spans="1:13" ht="15.75" x14ac:dyDescent="0.25">
      <c r="A823" s="3">
        <v>6971</v>
      </c>
      <c r="B823" s="3">
        <v>300931</v>
      </c>
      <c r="C823" s="3" t="s">
        <v>1701</v>
      </c>
      <c r="D823" s="3" t="s">
        <v>1702</v>
      </c>
      <c r="E823" s="6">
        <v>18935</v>
      </c>
      <c r="F823" s="3" t="s">
        <v>44</v>
      </c>
      <c r="G823" s="3" t="s">
        <v>27</v>
      </c>
      <c r="H823" s="3" t="str">
        <f>VLOOKUP(B823,'[1]Select territorios'!$C:$L,10,0)</f>
        <v>10.45850818</v>
      </c>
      <c r="I823" s="3" t="str">
        <f>VLOOKUP(B823,'[1]Select territorios'!$C:$M,11,0)</f>
        <v>-73.25307292</v>
      </c>
      <c r="J823" s="5" t="s">
        <v>40</v>
      </c>
      <c r="K823" s="5">
        <v>1003275622</v>
      </c>
      <c r="L823" s="5">
        <v>3218847746</v>
      </c>
      <c r="M823" s="5" t="s">
        <v>41</v>
      </c>
    </row>
    <row r="824" spans="1:13" ht="15.75" x14ac:dyDescent="0.25">
      <c r="A824" s="3">
        <v>6971</v>
      </c>
      <c r="B824" s="3">
        <v>300977</v>
      </c>
      <c r="C824" s="3" t="s">
        <v>1703</v>
      </c>
      <c r="D824" s="3" t="s">
        <v>1704</v>
      </c>
      <c r="E824" s="6">
        <v>8562</v>
      </c>
      <c r="F824" s="3" t="s">
        <v>213</v>
      </c>
      <c r="G824" s="3" t="s">
        <v>27</v>
      </c>
      <c r="H824" s="3" t="str">
        <f>VLOOKUP(B824,'[1]Select territorios'!$C:$L,10,0)</f>
        <v>8.291414</v>
      </c>
      <c r="I824" s="3" t="str">
        <f>VLOOKUP(B824,'[1]Select territorios'!$C:$M,11,0)</f>
        <v>73.620538</v>
      </c>
      <c r="J824" s="5" t="s">
        <v>71</v>
      </c>
      <c r="K824" s="5">
        <v>1065818056</v>
      </c>
      <c r="L824" s="5">
        <v>3145467066</v>
      </c>
      <c r="M824" s="5" t="s">
        <v>72</v>
      </c>
    </row>
    <row r="825" spans="1:13" ht="15.75" x14ac:dyDescent="0.25">
      <c r="A825" s="3">
        <v>6971</v>
      </c>
      <c r="B825" s="3">
        <v>300981</v>
      </c>
      <c r="C825" s="3" t="s">
        <v>1705</v>
      </c>
      <c r="D825" s="3" t="s">
        <v>1706</v>
      </c>
      <c r="E825" s="6">
        <v>6981</v>
      </c>
      <c r="F825" s="3" t="s">
        <v>47</v>
      </c>
      <c r="G825" s="3" t="s">
        <v>27</v>
      </c>
      <c r="H825" s="3" t="str">
        <f>VLOOKUP(B825,'[1]Select territorios'!$C:$L,10,0)</f>
        <v>9.65652036</v>
      </c>
      <c r="I825" s="3" t="str">
        <f>VLOOKUP(B825,'[1]Select territorios'!$C:$M,11,0)</f>
        <v>-73.749815</v>
      </c>
      <c r="J825" s="5" t="s">
        <v>48</v>
      </c>
      <c r="K825" s="5">
        <v>1064795379</v>
      </c>
      <c r="L825" s="5">
        <v>3104688587</v>
      </c>
      <c r="M825" s="5" t="s">
        <v>49</v>
      </c>
    </row>
    <row r="826" spans="1:13" ht="15.75" x14ac:dyDescent="0.25">
      <c r="A826" s="3">
        <v>6971</v>
      </c>
      <c r="B826" s="3">
        <v>300969</v>
      </c>
      <c r="C826" s="3" t="s">
        <v>1707</v>
      </c>
      <c r="D826" s="3" t="s">
        <v>1708</v>
      </c>
      <c r="E826" s="6">
        <v>8552</v>
      </c>
      <c r="F826" s="3" t="s">
        <v>30</v>
      </c>
      <c r="G826" s="3" t="s">
        <v>27</v>
      </c>
      <c r="H826" s="3" t="str">
        <f>VLOOKUP(B826,'[1]Select territorios'!$C:$L,10,0)</f>
        <v>10.456390</v>
      </c>
      <c r="I826" s="3" t="str">
        <f>VLOOKUP(B826,'[1]Select territorios'!$C:$M,11,0)</f>
        <v>-73.263617</v>
      </c>
      <c r="J826" s="5" t="s">
        <v>17</v>
      </c>
      <c r="K826" s="5">
        <v>15173890</v>
      </c>
      <c r="L826" s="5">
        <v>3002039991</v>
      </c>
      <c r="M826" s="5" t="s">
        <v>18</v>
      </c>
    </row>
    <row r="827" spans="1:13" ht="15.75" x14ac:dyDescent="0.25">
      <c r="A827" s="3">
        <v>6971</v>
      </c>
      <c r="B827" s="3">
        <v>300987</v>
      </c>
      <c r="C827" s="3" t="s">
        <v>1709</v>
      </c>
      <c r="D827" s="3" t="s">
        <v>1710</v>
      </c>
      <c r="E827" s="6">
        <v>6980</v>
      </c>
      <c r="F827" s="3" t="s">
        <v>384</v>
      </c>
      <c r="G827" s="3" t="s">
        <v>27</v>
      </c>
      <c r="H827" s="3" t="str">
        <f>VLOOKUP(B827,'[1]Select territorios'!$C:$L,10,0)</f>
        <v>10.143376</v>
      </c>
      <c r="I827" s="3" t="str">
        <f>VLOOKUP(B827,'[1]Select territorios'!$C:$M,11,0)</f>
        <v>-73.96696</v>
      </c>
      <c r="J827" s="5" t="s">
        <v>48</v>
      </c>
      <c r="K827" s="5">
        <v>1064795379</v>
      </c>
      <c r="L827" s="5">
        <v>3104688587</v>
      </c>
      <c r="M827" s="5" t="s">
        <v>49</v>
      </c>
    </row>
    <row r="828" spans="1:13" ht="15.75" x14ac:dyDescent="0.25">
      <c r="A828" s="3">
        <v>6971</v>
      </c>
      <c r="B828" s="3">
        <v>300985</v>
      </c>
      <c r="C828" s="3" t="s">
        <v>1711</v>
      </c>
      <c r="D828" s="3" t="s">
        <v>1712</v>
      </c>
      <c r="E828" s="6">
        <v>6974</v>
      </c>
      <c r="F828" s="3" t="s">
        <v>123</v>
      </c>
      <c r="G828" s="3" t="s">
        <v>27</v>
      </c>
      <c r="H828" s="3" t="str">
        <f>VLOOKUP(B828,'[1]Select territorios'!$C:$L,10,0)</f>
        <v>9.70009</v>
      </c>
      <c r="I828" s="3" t="str">
        <f>VLOOKUP(B828,'[1]Select territorios'!$C:$M,11,0)</f>
        <v>-73.27735</v>
      </c>
      <c r="J828" s="5" t="s">
        <v>58</v>
      </c>
      <c r="K828" s="5">
        <v>1193146338</v>
      </c>
      <c r="L828" s="5">
        <v>3202114923</v>
      </c>
      <c r="M828" s="5" t="s">
        <v>59</v>
      </c>
    </row>
    <row r="829" spans="1:13" ht="15.75" x14ac:dyDescent="0.25">
      <c r="A829" s="3">
        <v>6971</v>
      </c>
      <c r="B829" s="3">
        <v>301005</v>
      </c>
      <c r="C829" s="3" t="s">
        <v>1713</v>
      </c>
      <c r="D829" s="3" t="s">
        <v>1714</v>
      </c>
      <c r="E829" s="6">
        <v>6977</v>
      </c>
      <c r="F829" s="3" t="s">
        <v>52</v>
      </c>
      <c r="G829" s="3" t="s">
        <v>1480</v>
      </c>
      <c r="H829" s="3" t="str">
        <f>VLOOKUP(B829,'[1]Select territorios'!$C:$L,10,0)</f>
        <v>9.3678531143</v>
      </c>
      <c r="I829" s="3" t="str">
        <f>VLOOKUP(B829,'[1]Select territorios'!$C:$M,11,0)</f>
        <v>-73.6065492</v>
      </c>
      <c r="J829" s="5" t="s">
        <v>48</v>
      </c>
      <c r="K829" s="5">
        <v>1064795379</v>
      </c>
      <c r="L829" s="5">
        <v>3104688587</v>
      </c>
      <c r="M829" s="5" t="s">
        <v>49</v>
      </c>
    </row>
    <row r="830" spans="1:13" ht="15.75" x14ac:dyDescent="0.25">
      <c r="A830" s="3">
        <v>6971</v>
      </c>
      <c r="B830" s="3">
        <v>301014</v>
      </c>
      <c r="C830" s="3" t="s">
        <v>1715</v>
      </c>
      <c r="D830" s="3" t="s">
        <v>1716</v>
      </c>
      <c r="E830" s="6">
        <v>6975</v>
      </c>
      <c r="F830" s="3" t="s">
        <v>78</v>
      </c>
      <c r="G830" s="3" t="s">
        <v>27</v>
      </c>
      <c r="H830" s="3" t="str">
        <f>VLOOKUP(B830,'[1]Select territorios'!$C:$L,10,0)</f>
        <v>9.98013</v>
      </c>
      <c r="I830" s="3" t="str">
        <f>VLOOKUP(B830,'[1]Select territorios'!$C:$M,11,0)</f>
        <v>73.88776</v>
      </c>
      <c r="J830" s="5" t="s">
        <v>48</v>
      </c>
      <c r="K830" s="5">
        <v>1064795379</v>
      </c>
      <c r="L830" s="5">
        <v>3104688587</v>
      </c>
      <c r="M830" s="5" t="s">
        <v>49</v>
      </c>
    </row>
    <row r="831" spans="1:13" ht="15.75" x14ac:dyDescent="0.25">
      <c r="A831" s="3">
        <v>6971</v>
      </c>
      <c r="B831" s="3">
        <v>300892</v>
      </c>
      <c r="C831" s="3" t="s">
        <v>1717</v>
      </c>
      <c r="D831" s="3" t="s">
        <v>1718</v>
      </c>
      <c r="E831" s="6">
        <v>8561</v>
      </c>
      <c r="F831" s="3" t="s">
        <v>168</v>
      </c>
      <c r="G831" s="3" t="s">
        <v>27</v>
      </c>
      <c r="H831" s="3" t="str">
        <f>VLOOKUP(B831,'[1]Select territorios'!$C:$L,10,0)</f>
        <v>8.29901844</v>
      </c>
      <c r="I831" s="3" t="str">
        <f>VLOOKUP(B831,'[1]Select territorios'!$C:$M,11,0)</f>
        <v>-73.61411064</v>
      </c>
      <c r="J831" s="5" t="s">
        <v>107</v>
      </c>
      <c r="K831" s="5">
        <v>1005281494</v>
      </c>
      <c r="L831" s="5">
        <v>3158541035</v>
      </c>
      <c r="M831" s="5" t="s">
        <v>108</v>
      </c>
    </row>
    <row r="832" spans="1:13" ht="15.75" x14ac:dyDescent="0.25">
      <c r="A832" s="3">
        <v>6971</v>
      </c>
      <c r="B832" s="3">
        <v>301010</v>
      </c>
      <c r="C832" s="3" t="s">
        <v>1719</v>
      </c>
      <c r="D832" s="3" t="s">
        <v>1720</v>
      </c>
      <c r="E832" s="6">
        <v>6998</v>
      </c>
      <c r="F832" s="3" t="s">
        <v>106</v>
      </c>
      <c r="G832" s="3" t="s">
        <v>27</v>
      </c>
      <c r="H832" s="3" t="str">
        <f>VLOOKUP(B832,'[1]Select territorios'!$C:$L,10,0)</f>
        <v>8.0025833</v>
      </c>
      <c r="I832" s="3" t="str">
        <f>VLOOKUP(B832,'[1]Select territorios'!$C:$M,11,0)</f>
        <v>-73.51062</v>
      </c>
      <c r="J832" s="5" t="s">
        <v>107</v>
      </c>
      <c r="K832" s="5">
        <v>1005281494</v>
      </c>
      <c r="L832" s="5">
        <v>3158541035</v>
      </c>
      <c r="M832" s="5" t="s">
        <v>108</v>
      </c>
    </row>
    <row r="833" spans="1:13" ht="15.75" x14ac:dyDescent="0.25">
      <c r="A833" s="3">
        <v>6971</v>
      </c>
      <c r="B833" s="3">
        <v>301029</v>
      </c>
      <c r="C833" s="3" t="s">
        <v>1721</v>
      </c>
      <c r="D833" s="3" t="s">
        <v>1722</v>
      </c>
      <c r="E833" s="6">
        <v>45388</v>
      </c>
      <c r="F833" s="3" t="s">
        <v>196</v>
      </c>
      <c r="G833" s="3" t="s">
        <v>27</v>
      </c>
      <c r="H833" s="3" t="str">
        <f>VLOOKUP(B833,'[1]Select territorios'!$C:$L,10,0)</f>
        <v>9.971883</v>
      </c>
      <c r="I833" s="3" t="str">
        <f>VLOOKUP(B833,'[1]Select territorios'!$C:$M,11,0)</f>
        <v>-73.887478</v>
      </c>
      <c r="J833" s="5" t="s">
        <v>48</v>
      </c>
      <c r="K833" s="5">
        <v>1064795379</v>
      </c>
      <c r="L833" s="5">
        <v>3104688587</v>
      </c>
      <c r="M833" s="5" t="s">
        <v>49</v>
      </c>
    </row>
    <row r="834" spans="1:13" ht="15.75" x14ac:dyDescent="0.25">
      <c r="A834" s="3">
        <v>6971</v>
      </c>
      <c r="B834" s="3">
        <v>301004</v>
      </c>
      <c r="C834" s="3" t="s">
        <v>1723</v>
      </c>
      <c r="D834" s="3" t="s">
        <v>1724</v>
      </c>
      <c r="E834" s="8">
        <v>42463</v>
      </c>
      <c r="F834" s="3" t="s">
        <v>377</v>
      </c>
      <c r="G834" s="3" t="s">
        <v>27</v>
      </c>
      <c r="H834" s="3" t="str">
        <f>VLOOKUP(B834,'[1]Select territorios'!$C:$L,10,0)</f>
        <v>10.03281</v>
      </c>
      <c r="I834" s="3" t="str">
        <f>VLOOKUP(B834,'[1]Select territorios'!$C:$M,11,0)</f>
        <v>-73.22629</v>
      </c>
      <c r="J834" s="5" t="s">
        <v>58</v>
      </c>
      <c r="K834" s="5">
        <v>1193146338</v>
      </c>
      <c r="L834" s="5">
        <v>3202114923</v>
      </c>
      <c r="M834" s="5" t="s">
        <v>59</v>
      </c>
    </row>
    <row r="835" spans="1:13" ht="15.75" x14ac:dyDescent="0.25">
      <c r="A835" s="3">
        <v>6971</v>
      </c>
      <c r="B835" s="3">
        <v>300989</v>
      </c>
      <c r="C835" s="3" t="s">
        <v>1725</v>
      </c>
      <c r="D835" s="3" t="s">
        <v>1726</v>
      </c>
      <c r="E835" s="6">
        <v>8554</v>
      </c>
      <c r="F835" s="3" t="s">
        <v>81</v>
      </c>
      <c r="G835" s="3" t="s">
        <v>27</v>
      </c>
      <c r="H835" s="3" t="str">
        <f>VLOOKUP(B835,'[1]Select territorios'!$C:$L,10,0)</f>
        <v>10.4459683</v>
      </c>
      <c r="I835" s="3" t="str">
        <f>VLOOKUP(B835,'[1]Select territorios'!$C:$M,11,0)</f>
        <v>-73.2456850</v>
      </c>
      <c r="J835" s="5" t="s">
        <v>40</v>
      </c>
      <c r="K835" s="5">
        <v>1003275622</v>
      </c>
      <c r="L835" s="5">
        <v>3218847746</v>
      </c>
      <c r="M835" s="5" t="s">
        <v>41</v>
      </c>
    </row>
    <row r="836" spans="1:13" ht="15.75" x14ac:dyDescent="0.25">
      <c r="A836" s="3">
        <v>6971</v>
      </c>
      <c r="B836" s="3">
        <v>301046</v>
      </c>
      <c r="C836" s="3" t="s">
        <v>1727</v>
      </c>
      <c r="D836" s="3" t="s">
        <v>1728</v>
      </c>
      <c r="E836" s="6">
        <v>6984</v>
      </c>
      <c r="F836" s="3" t="s">
        <v>75</v>
      </c>
      <c r="G836" s="3" t="s">
        <v>27</v>
      </c>
      <c r="H836" s="3" t="str">
        <f>VLOOKUP(B836,'[1]Select territorios'!$C:$L,10,0)</f>
        <v>8.49258166</v>
      </c>
      <c r="I836" s="3" t="str">
        <f>VLOOKUP(B836,'[1]Select territorios'!$C:$M,11,0)</f>
        <v>-73.63964833</v>
      </c>
      <c r="J836" s="5" t="s">
        <v>71</v>
      </c>
      <c r="K836" s="5">
        <v>1065818056</v>
      </c>
      <c r="L836" s="5">
        <v>3145467066</v>
      </c>
      <c r="M836" s="5" t="s">
        <v>72</v>
      </c>
    </row>
    <row r="837" spans="1:13" ht="15.75" x14ac:dyDescent="0.25">
      <c r="A837" s="3">
        <v>6971</v>
      </c>
      <c r="B837" s="3">
        <v>301012</v>
      </c>
      <c r="C837" s="3" t="s">
        <v>1729</v>
      </c>
      <c r="D837" s="3" t="s">
        <v>1730</v>
      </c>
      <c r="E837" s="6">
        <v>6999</v>
      </c>
      <c r="F837" s="3" t="s">
        <v>260</v>
      </c>
      <c r="G837" s="3" t="s">
        <v>1480</v>
      </c>
      <c r="H837" s="3" t="str">
        <f>VLOOKUP(B837,'[1]Select territorios'!$C:$L,10,0)</f>
        <v>8.8609466</v>
      </c>
      <c r="I837" s="3" t="str">
        <f>VLOOKUP(B837,'[1]Select territorios'!$C:$M,11,0)</f>
        <v>-73.8115516</v>
      </c>
      <c r="J837" s="5" t="s">
        <v>71</v>
      </c>
      <c r="K837" s="5">
        <v>1065818056</v>
      </c>
      <c r="L837" s="5">
        <v>3145467066</v>
      </c>
      <c r="M837" s="5" t="s">
        <v>72</v>
      </c>
    </row>
    <row r="838" spans="1:13" ht="15.75" x14ac:dyDescent="0.25">
      <c r="A838" s="3">
        <v>6971</v>
      </c>
      <c r="B838" s="3">
        <v>301065</v>
      </c>
      <c r="C838" s="3" t="s">
        <v>1731</v>
      </c>
      <c r="D838" s="3" t="s">
        <v>1732</v>
      </c>
      <c r="E838" s="6">
        <v>6982</v>
      </c>
      <c r="F838" s="3" t="s">
        <v>118</v>
      </c>
      <c r="G838" s="3" t="s">
        <v>27</v>
      </c>
      <c r="H838" s="3" t="str">
        <f>VLOOKUP(B838,'[1]Select territorios'!$C:$L,10,0)</f>
        <v>8.33320</v>
      </c>
      <c r="I838" s="3" t="str">
        <f>VLOOKUP(B838,'[1]Select territorios'!$C:$M,11,0)</f>
        <v>-73.72499</v>
      </c>
      <c r="J838" s="5" t="s">
        <v>107</v>
      </c>
      <c r="K838" s="5">
        <v>1005281494</v>
      </c>
      <c r="L838" s="5">
        <v>3158541035</v>
      </c>
      <c r="M838" s="5" t="s">
        <v>108</v>
      </c>
    </row>
    <row r="839" spans="1:13" ht="15.75" x14ac:dyDescent="0.25">
      <c r="A839" s="3">
        <v>6971</v>
      </c>
      <c r="B839" s="3">
        <v>301064</v>
      </c>
      <c r="C839" s="3" t="s">
        <v>1733</v>
      </c>
      <c r="D839" s="3" t="s">
        <v>1734</v>
      </c>
      <c r="E839" s="6">
        <v>6989</v>
      </c>
      <c r="F839" s="3" t="s">
        <v>39</v>
      </c>
      <c r="G839" s="3" t="s">
        <v>27</v>
      </c>
      <c r="H839" s="3" t="str">
        <f>VLOOKUP(B839,'[1]Select territorios'!$C:$L,10,0)</f>
        <v>10.3857</v>
      </c>
      <c r="I839" s="3" t="str">
        <f>VLOOKUP(B839,'[1]Select territorios'!$C:$M,11,0)</f>
        <v>-73.0367</v>
      </c>
      <c r="J839" s="5" t="s">
        <v>40</v>
      </c>
      <c r="K839" s="5">
        <v>1003275622</v>
      </c>
      <c r="L839" s="5">
        <v>3218847746</v>
      </c>
      <c r="M839" s="5" t="s">
        <v>41</v>
      </c>
    </row>
    <row r="840" spans="1:13" ht="15.75" x14ac:dyDescent="0.25">
      <c r="A840" s="3">
        <v>6971</v>
      </c>
      <c r="B840" s="3">
        <v>301093</v>
      </c>
      <c r="C840" s="3" t="s">
        <v>1735</v>
      </c>
      <c r="D840" s="3" t="s">
        <v>1736</v>
      </c>
      <c r="E840" s="6">
        <v>6972</v>
      </c>
      <c r="F840" s="3" t="s">
        <v>173</v>
      </c>
      <c r="G840" s="3" t="s">
        <v>27</v>
      </c>
      <c r="H840" s="3" t="str">
        <f>VLOOKUP(B840,'[1]Select territorios'!$C:$L,10,0)</f>
        <v>8.3128077</v>
      </c>
      <c r="I840" s="3" t="str">
        <f>VLOOKUP(B840,'[1]Select territorios'!$C:$M,11,0)</f>
        <v>-73.6122886</v>
      </c>
      <c r="J840" s="5" t="s">
        <v>71</v>
      </c>
      <c r="K840" s="5">
        <v>1065818056</v>
      </c>
      <c r="L840" s="5">
        <v>3145467066</v>
      </c>
      <c r="M840" s="5" t="s">
        <v>72</v>
      </c>
    </row>
    <row r="841" spans="1:13" ht="15.75" x14ac:dyDescent="0.25">
      <c r="A841" s="3">
        <v>6971</v>
      </c>
      <c r="B841" s="3">
        <v>301096</v>
      </c>
      <c r="C841" s="3" t="s">
        <v>1737</v>
      </c>
      <c r="D841" s="3" t="s">
        <v>1738</v>
      </c>
      <c r="E841" s="6">
        <v>6972</v>
      </c>
      <c r="F841" s="3" t="s">
        <v>173</v>
      </c>
      <c r="G841" s="3" t="s">
        <v>27</v>
      </c>
      <c r="H841" s="3" t="str">
        <f>VLOOKUP(B841,'[1]Select territorios'!$C:$L,10,0)</f>
        <v>8.38040719</v>
      </c>
      <c r="I841" s="3" t="str">
        <f>VLOOKUP(B841,'[1]Select territorios'!$C:$M,11,0)</f>
        <v>-73.61166839</v>
      </c>
      <c r="J841" s="5" t="s">
        <v>71</v>
      </c>
      <c r="K841" s="5">
        <v>1065818056</v>
      </c>
      <c r="L841" s="5">
        <v>3145467066</v>
      </c>
      <c r="M841" s="5" t="s">
        <v>72</v>
      </c>
    </row>
    <row r="842" spans="1:13" ht="15.75" x14ac:dyDescent="0.25">
      <c r="A842" s="3">
        <v>6971</v>
      </c>
      <c r="B842" s="3">
        <v>301097</v>
      </c>
      <c r="C842" s="3" t="s">
        <v>1739</v>
      </c>
      <c r="D842" s="3" t="s">
        <v>1740</v>
      </c>
      <c r="E842" s="6">
        <v>6972</v>
      </c>
      <c r="F842" s="3" t="s">
        <v>173</v>
      </c>
      <c r="G842" s="3" t="s">
        <v>27</v>
      </c>
      <c r="H842" s="3" t="str">
        <f>VLOOKUP(B842,'[1]Select territorios'!$C:$L,10,0)</f>
        <v>8.19824163</v>
      </c>
      <c r="I842" s="3" t="str">
        <f>VLOOKUP(B842,'[1]Select territorios'!$C:$M,11,0)</f>
        <v>-73.6106931</v>
      </c>
      <c r="J842" s="5" t="s">
        <v>71</v>
      </c>
      <c r="K842" s="5">
        <v>1065818056</v>
      </c>
      <c r="L842" s="5">
        <v>3145467066</v>
      </c>
      <c r="M842" s="5" t="s">
        <v>72</v>
      </c>
    </row>
    <row r="843" spans="1:13" ht="15.75" x14ac:dyDescent="0.25">
      <c r="A843" s="3">
        <v>6971</v>
      </c>
      <c r="B843" s="3">
        <v>301134</v>
      </c>
      <c r="C843" s="3" t="s">
        <v>1741</v>
      </c>
      <c r="D843" s="3" t="s">
        <v>1742</v>
      </c>
      <c r="E843" s="6">
        <v>6986</v>
      </c>
      <c r="F843" s="3" t="s">
        <v>294</v>
      </c>
      <c r="G843" s="3" t="s">
        <v>27</v>
      </c>
      <c r="H843" s="3" t="str">
        <f>VLOOKUP(B843,'[1]Select territorios'!$C:$L,10,0)</f>
        <v>9.6168632</v>
      </c>
      <c r="I843" s="3" t="str">
        <f>VLOOKUP(B843,'[1]Select territorios'!$C:$M,11,0)</f>
        <v>-73.5975525</v>
      </c>
      <c r="J843" s="5" t="s">
        <v>48</v>
      </c>
      <c r="K843" s="5">
        <v>1064795379</v>
      </c>
      <c r="L843" s="5">
        <v>3104688587</v>
      </c>
      <c r="M843" s="5" t="s">
        <v>49</v>
      </c>
    </row>
    <row r="844" spans="1:13" ht="15.75" x14ac:dyDescent="0.25">
      <c r="A844" s="3">
        <v>6971</v>
      </c>
      <c r="B844" s="3">
        <v>301151</v>
      </c>
      <c r="C844" s="3" t="s">
        <v>1743</v>
      </c>
      <c r="D844" s="3" t="s">
        <v>1744</v>
      </c>
      <c r="E844" s="6">
        <v>18936</v>
      </c>
      <c r="F844" s="3" t="s">
        <v>21</v>
      </c>
      <c r="G844" s="3" t="s">
        <v>27</v>
      </c>
      <c r="H844" s="3" t="str">
        <f>VLOOKUP(B844,'[1]Select territorios'!$C:$L,10,0)</f>
        <v>10.481667</v>
      </c>
      <c r="I844" s="3" t="str">
        <f>VLOOKUP(B844,'[1]Select territorios'!$C:$M,11,0)</f>
        <v>-73.245102</v>
      </c>
      <c r="J844" s="5" t="s">
        <v>23</v>
      </c>
      <c r="K844" s="5">
        <v>1065600058</v>
      </c>
      <c r="L844" s="5">
        <v>3123009293</v>
      </c>
      <c r="M844" s="5" t="s">
        <v>24</v>
      </c>
    </row>
    <row r="845" spans="1:13" ht="15.75" x14ac:dyDescent="0.25">
      <c r="A845" s="3">
        <v>6971</v>
      </c>
      <c r="B845" s="3">
        <v>301095</v>
      </c>
      <c r="C845" s="3" t="s">
        <v>1745</v>
      </c>
      <c r="D845" s="3" t="s">
        <v>1746</v>
      </c>
      <c r="E845" s="6">
        <v>6985</v>
      </c>
      <c r="F845" s="3" t="s">
        <v>101</v>
      </c>
      <c r="G845" s="3" t="s">
        <v>27</v>
      </c>
      <c r="H845" s="3" t="str">
        <f>VLOOKUP(B845,'[1]Select territorios'!$C:$L,10,0)</f>
        <v>9.56910</v>
      </c>
      <c r="I845" s="3" t="str">
        <f>VLOOKUP(B845,'[1]Select territorios'!$C:$M,11,0)</f>
        <v>-73.33527</v>
      </c>
      <c r="J845" s="5" t="s">
        <v>58</v>
      </c>
      <c r="K845" s="5">
        <v>1193146338</v>
      </c>
      <c r="L845" s="5">
        <v>3202114923</v>
      </c>
      <c r="M845" s="5" t="s">
        <v>59</v>
      </c>
    </row>
    <row r="846" spans="1:13" ht="15.75" x14ac:dyDescent="0.25">
      <c r="A846" s="3">
        <v>6971</v>
      </c>
      <c r="B846" s="3">
        <v>301094</v>
      </c>
      <c r="C846" s="3" t="s">
        <v>1747</v>
      </c>
      <c r="D846" s="3" t="s">
        <v>1748</v>
      </c>
      <c r="E846" s="6">
        <v>6982</v>
      </c>
      <c r="F846" s="3" t="s">
        <v>118</v>
      </c>
      <c r="G846" s="3" t="s">
        <v>27</v>
      </c>
      <c r="H846" s="3" t="str">
        <f>VLOOKUP(B846,'[1]Select territorios'!$C:$L,10,0)</f>
        <v>8.32419</v>
      </c>
      <c r="I846" s="3" t="str">
        <f>VLOOKUP(B846,'[1]Select territorios'!$C:$M,11,0)</f>
        <v>-73.74486</v>
      </c>
      <c r="J846" s="5" t="s">
        <v>107</v>
      </c>
      <c r="K846" s="5">
        <v>1005281494</v>
      </c>
      <c r="L846" s="5">
        <v>3158541035</v>
      </c>
      <c r="M846" s="5" t="s">
        <v>108</v>
      </c>
    </row>
    <row r="847" spans="1:13" ht="15.75" x14ac:dyDescent="0.25">
      <c r="A847" s="3">
        <v>6971</v>
      </c>
      <c r="B847" s="3">
        <v>301084</v>
      </c>
      <c r="C847" s="3" t="s">
        <v>1749</v>
      </c>
      <c r="D847" s="3" t="s">
        <v>1750</v>
      </c>
      <c r="E847" s="6">
        <v>6978</v>
      </c>
      <c r="F847" s="3" t="s">
        <v>91</v>
      </c>
      <c r="G847" s="3" t="s">
        <v>16</v>
      </c>
      <c r="H847" s="3" t="str">
        <f>VLOOKUP(B847,'[1]Select territorios'!$C:$L,10,0)</f>
        <v>10.1452</v>
      </c>
      <c r="I847" s="3" t="str">
        <f>VLOOKUP(B847,'[1]Select territorios'!$C:$M,11,0)</f>
        <v>-73.2358</v>
      </c>
      <c r="J847" s="5" t="s">
        <v>58</v>
      </c>
      <c r="K847" s="5">
        <v>1193146338</v>
      </c>
      <c r="L847" s="5">
        <v>3202114923</v>
      </c>
      <c r="M847" s="5" t="s">
        <v>59</v>
      </c>
    </row>
    <row r="848" spans="1:13" ht="15.75" x14ac:dyDescent="0.25">
      <c r="A848" s="3">
        <v>6971</v>
      </c>
      <c r="B848" s="3">
        <v>301091</v>
      </c>
      <c r="C848" s="3" t="s">
        <v>1751</v>
      </c>
      <c r="D848" s="3" t="s">
        <v>1752</v>
      </c>
      <c r="E848" s="6">
        <v>6994</v>
      </c>
      <c r="F848" s="3" t="s">
        <v>224</v>
      </c>
      <c r="G848" s="3" t="s">
        <v>27</v>
      </c>
      <c r="H848" s="3" t="str">
        <f>VLOOKUP(B848,'[1]Select territorios'!$C:$L,10,0)</f>
        <v>8.0810350</v>
      </c>
      <c r="I848" s="3" t="str">
        <f>VLOOKUP(B848,'[1]Select territorios'!$C:$M,11,0)</f>
        <v>-73.5557316</v>
      </c>
      <c r="J848" s="5" t="s">
        <v>107</v>
      </c>
      <c r="K848" s="5">
        <v>1005281494</v>
      </c>
      <c r="L848" s="5">
        <v>3158541035</v>
      </c>
      <c r="M848" s="5" t="s">
        <v>108</v>
      </c>
    </row>
    <row r="849" spans="1:13" ht="15.75" x14ac:dyDescent="0.25">
      <c r="A849" s="3">
        <v>6971</v>
      </c>
      <c r="B849" s="3">
        <v>301196</v>
      </c>
      <c r="C849" s="3" t="s">
        <v>1753</v>
      </c>
      <c r="D849" s="3" t="s">
        <v>1754</v>
      </c>
      <c r="E849" s="6">
        <v>6985</v>
      </c>
      <c r="F849" s="3" t="s">
        <v>101</v>
      </c>
      <c r="G849" s="3" t="s">
        <v>27</v>
      </c>
      <c r="H849" s="3" t="str">
        <f>VLOOKUP(B849,'[1]Select territorios'!$C:$L,10,0)</f>
        <v>9.55777</v>
      </c>
      <c r="I849" s="3" t="str">
        <f>VLOOKUP(B849,'[1]Select territorios'!$C:$M,11,0)</f>
        <v>-73.33415</v>
      </c>
      <c r="J849" s="5" t="s">
        <v>58</v>
      </c>
      <c r="K849" s="5">
        <v>1193146338</v>
      </c>
      <c r="L849" s="5">
        <v>3202114923</v>
      </c>
      <c r="M849" s="5" t="s">
        <v>59</v>
      </c>
    </row>
    <row r="850" spans="1:13" ht="15.75" x14ac:dyDescent="0.25">
      <c r="A850" s="3">
        <v>6971</v>
      </c>
      <c r="B850" s="3">
        <v>301197</v>
      </c>
      <c r="C850" s="3" t="s">
        <v>1755</v>
      </c>
      <c r="D850" s="3" t="s">
        <v>1756</v>
      </c>
      <c r="E850" s="6">
        <v>6985</v>
      </c>
      <c r="F850" s="3" t="s">
        <v>101</v>
      </c>
      <c r="G850" s="3" t="s">
        <v>27</v>
      </c>
      <c r="H850" s="3" t="str">
        <f>VLOOKUP(B850,'[1]Select territorios'!$C:$L,10,0)</f>
        <v>9.55912</v>
      </c>
      <c r="I850" s="3" t="str">
        <f>VLOOKUP(B850,'[1]Select territorios'!$C:$M,11,0)</f>
        <v>-73.33889</v>
      </c>
      <c r="J850" s="5" t="s">
        <v>58</v>
      </c>
      <c r="K850" s="5">
        <v>1193146338</v>
      </c>
      <c r="L850" s="5">
        <v>3202114923</v>
      </c>
      <c r="M850" s="5" t="s">
        <v>59</v>
      </c>
    </row>
    <row r="851" spans="1:13" ht="15.75" x14ac:dyDescent="0.25">
      <c r="A851" s="3">
        <v>6971</v>
      </c>
      <c r="B851" s="3">
        <v>301233</v>
      </c>
      <c r="C851" s="3" t="s">
        <v>1757</v>
      </c>
      <c r="D851" s="3" t="s">
        <v>1758</v>
      </c>
      <c r="E851" s="6">
        <v>6977</v>
      </c>
      <c r="F851" s="3" t="s">
        <v>52</v>
      </c>
      <c r="G851" s="3" t="s">
        <v>1480</v>
      </c>
      <c r="H851" s="3" t="str">
        <f>VLOOKUP(B851,'[1]Select territorios'!$C:$L,10,0)</f>
        <v>9.359842529</v>
      </c>
      <c r="I851" s="3" t="str">
        <f>VLOOKUP(B851,'[1]Select territorios'!$C:$M,11,0)</f>
        <v>-73.6079514</v>
      </c>
      <c r="J851" s="5" t="s">
        <v>48</v>
      </c>
      <c r="K851" s="5">
        <v>1064795379</v>
      </c>
      <c r="L851" s="5">
        <v>3104688587</v>
      </c>
      <c r="M851" s="5" t="s">
        <v>49</v>
      </c>
    </row>
    <row r="852" spans="1:13" ht="15.75" x14ac:dyDescent="0.25">
      <c r="A852" s="3">
        <v>6971</v>
      </c>
      <c r="B852" s="3">
        <v>301231</v>
      </c>
      <c r="C852" s="3" t="s">
        <v>1759</v>
      </c>
      <c r="D852" s="3" t="s">
        <v>1760</v>
      </c>
      <c r="E852" s="6">
        <v>8562</v>
      </c>
      <c r="F852" s="3" t="s">
        <v>213</v>
      </c>
      <c r="G852" s="3" t="s">
        <v>27</v>
      </c>
      <c r="H852" s="3" t="str">
        <f>VLOOKUP(B852,'[1]Select territorios'!$C:$L,10,0)</f>
        <v>8.300144</v>
      </c>
      <c r="I852" s="3" t="str">
        <f>VLOOKUP(B852,'[1]Select territorios'!$C:$M,11,0)</f>
        <v>-73.620439</v>
      </c>
      <c r="J852" s="5" t="s">
        <v>71</v>
      </c>
      <c r="K852" s="5">
        <v>1065818056</v>
      </c>
      <c r="L852" s="5">
        <v>3145467066</v>
      </c>
      <c r="M852" s="5" t="s">
        <v>72</v>
      </c>
    </row>
    <row r="853" spans="1:13" ht="15.75" x14ac:dyDescent="0.25">
      <c r="A853" s="3">
        <v>6971</v>
      </c>
      <c r="B853" s="3">
        <v>301234</v>
      </c>
      <c r="C853" s="3" t="s">
        <v>1761</v>
      </c>
      <c r="D853" s="3" t="s">
        <v>1762</v>
      </c>
      <c r="E853" s="6">
        <v>6972</v>
      </c>
      <c r="F853" s="3" t="s">
        <v>173</v>
      </c>
      <c r="G853" s="3" t="s">
        <v>27</v>
      </c>
      <c r="H853" s="3" t="str">
        <f>VLOOKUP(B853,'[1]Select territorios'!$C:$L,10,0)</f>
        <v>8.30767637</v>
      </c>
      <c r="I853" s="3" t="str">
        <f>VLOOKUP(B853,'[1]Select territorios'!$C:$M,11,0)</f>
        <v>-73.60597076</v>
      </c>
      <c r="J853" s="5" t="s">
        <v>71</v>
      </c>
      <c r="K853" s="5">
        <v>1065818056</v>
      </c>
      <c r="L853" s="5">
        <v>3145467066</v>
      </c>
      <c r="M853" s="5" t="s">
        <v>72</v>
      </c>
    </row>
    <row r="854" spans="1:13" ht="15.75" x14ac:dyDescent="0.25">
      <c r="A854" s="3">
        <v>6971</v>
      </c>
      <c r="B854" s="3">
        <v>301252</v>
      </c>
      <c r="C854" s="3" t="s">
        <v>1763</v>
      </c>
      <c r="D854" s="3" t="s">
        <v>1764</v>
      </c>
      <c r="E854" s="6">
        <v>6993</v>
      </c>
      <c r="F854" s="3" t="s">
        <v>370</v>
      </c>
      <c r="G854" s="3" t="s">
        <v>27</v>
      </c>
      <c r="H854" s="3" t="str">
        <f>VLOOKUP(B854,'[1]Select territorios'!$C:$L,10,0)</f>
        <v>10.41204</v>
      </c>
      <c r="I854" s="3" t="str">
        <f>VLOOKUP(B854,'[1]Select territorios'!$C:$M,11,0)</f>
        <v>-73.59301</v>
      </c>
      <c r="J854" s="5" t="s">
        <v>40</v>
      </c>
      <c r="K854" s="5">
        <v>1003275622</v>
      </c>
      <c r="L854" s="5">
        <v>3218847746</v>
      </c>
      <c r="M854" s="5" t="s">
        <v>41</v>
      </c>
    </row>
    <row r="855" spans="1:13" ht="15.75" x14ac:dyDescent="0.25">
      <c r="A855" s="3">
        <v>6971</v>
      </c>
      <c r="B855" s="3">
        <v>301244</v>
      </c>
      <c r="C855" s="3" t="s">
        <v>1765</v>
      </c>
      <c r="D855" s="3" t="s">
        <v>1766</v>
      </c>
      <c r="E855" s="6">
        <v>6991</v>
      </c>
      <c r="F855" s="3" t="s">
        <v>70</v>
      </c>
      <c r="G855" s="3" t="s">
        <v>27</v>
      </c>
      <c r="H855" s="3" t="str">
        <f>VLOOKUP(B855,'[1]Select territorios'!$C:$L,10,0)</f>
        <v>8.6979</v>
      </c>
      <c r="I855" s="3" t="str">
        <f>VLOOKUP(B855,'[1]Select territorios'!$C:$M,11,0)</f>
        <v>-73.6686</v>
      </c>
      <c r="J855" s="5" t="s">
        <v>71</v>
      </c>
      <c r="K855" s="5">
        <v>1065818056</v>
      </c>
      <c r="L855" s="5">
        <v>3145467066</v>
      </c>
      <c r="M855" s="5" t="s">
        <v>72</v>
      </c>
    </row>
    <row r="856" spans="1:13" ht="15.75" x14ac:dyDescent="0.25">
      <c r="A856" s="3">
        <v>6971</v>
      </c>
      <c r="B856" s="3">
        <v>301245</v>
      </c>
      <c r="C856" s="3" t="s">
        <v>1767</v>
      </c>
      <c r="D856" s="3" t="s">
        <v>1768</v>
      </c>
      <c r="E856" s="6">
        <v>6990</v>
      </c>
      <c r="F856" s="3" t="s">
        <v>131</v>
      </c>
      <c r="G856" s="3" t="s">
        <v>27</v>
      </c>
      <c r="H856" s="3" t="str">
        <f>VLOOKUP(B856,'[1]Select territorios'!$C:$L,10,0)</f>
        <v>8.95702802</v>
      </c>
      <c r="I856" s="3" t="str">
        <f>VLOOKUP(B856,'[1]Select territorios'!$C:$M,11,0)</f>
        <v>-73.62761588</v>
      </c>
      <c r="J856" s="5" t="s">
        <v>71</v>
      </c>
      <c r="K856" s="5">
        <v>1065818056</v>
      </c>
      <c r="L856" s="5">
        <v>3145467066</v>
      </c>
      <c r="M856" s="5" t="s">
        <v>72</v>
      </c>
    </row>
    <row r="857" spans="1:13" ht="15.75" x14ac:dyDescent="0.25">
      <c r="A857" s="3">
        <v>6971</v>
      </c>
      <c r="B857" s="3">
        <v>301235</v>
      </c>
      <c r="C857" s="3" t="s">
        <v>1769</v>
      </c>
      <c r="D857" s="3" t="s">
        <v>1770</v>
      </c>
      <c r="E857" s="6">
        <v>17191</v>
      </c>
      <c r="F857" s="3" t="s">
        <v>186</v>
      </c>
      <c r="G857" s="3" t="s">
        <v>27</v>
      </c>
      <c r="H857" s="3" t="str">
        <f>VLOOKUP(B857,'[1]Select territorios'!$C:$L,10,0)</f>
        <v>10.4524484</v>
      </c>
      <c r="I857" s="3" t="str">
        <f>VLOOKUP(B857,'[1]Select territorios'!$C:$M,11,0)</f>
        <v>-73.2770889</v>
      </c>
      <c r="J857" s="5" t="s">
        <v>17</v>
      </c>
      <c r="K857" s="5">
        <v>15173890</v>
      </c>
      <c r="L857" s="5">
        <v>3002039991</v>
      </c>
      <c r="M857" s="5" t="s">
        <v>18</v>
      </c>
    </row>
    <row r="858" spans="1:13" ht="15.75" x14ac:dyDescent="0.25">
      <c r="A858" s="3">
        <v>6971</v>
      </c>
      <c r="B858" s="3">
        <v>301193</v>
      </c>
      <c r="C858" s="3" t="s">
        <v>1771</v>
      </c>
      <c r="D858" s="3" t="s">
        <v>1772</v>
      </c>
      <c r="E858" s="6">
        <v>45386</v>
      </c>
      <c r="F858" s="3" t="s">
        <v>67</v>
      </c>
      <c r="G858" s="3" t="s">
        <v>27</v>
      </c>
      <c r="H858" s="3" t="str">
        <f>VLOOKUP(B858,'[1]Select territorios'!$C:$L,10,0)</f>
        <v>10.448005</v>
      </c>
      <c r="I858" s="3" t="str">
        <f>VLOOKUP(B858,'[1]Select territorios'!$C:$M,11,0)</f>
        <v>-73.256420</v>
      </c>
      <c r="J858" s="5" t="s">
        <v>40</v>
      </c>
      <c r="K858" s="5">
        <v>1003275622</v>
      </c>
      <c r="L858" s="5">
        <v>3218847746</v>
      </c>
      <c r="M858" s="5" t="s">
        <v>41</v>
      </c>
    </row>
    <row r="859" spans="1:13" ht="15.75" x14ac:dyDescent="0.25">
      <c r="A859" s="3">
        <v>6971</v>
      </c>
      <c r="B859" s="3">
        <v>301243</v>
      </c>
      <c r="C859" s="3" t="s">
        <v>1773</v>
      </c>
      <c r="D859" s="3" t="s">
        <v>1774</v>
      </c>
      <c r="E859" s="6">
        <v>6986</v>
      </c>
      <c r="F859" s="3" t="s">
        <v>294</v>
      </c>
      <c r="G859" s="3" t="s">
        <v>27</v>
      </c>
      <c r="H859" s="3" t="str">
        <f>VLOOKUP(B859,'[1]Select territorios'!$C:$L,10,0)</f>
        <v>9.621531497</v>
      </c>
      <c r="I859" s="3" t="str">
        <f>VLOOKUP(B859,'[1]Select territorios'!$C:$M,11,0)</f>
        <v>-73.60870211</v>
      </c>
      <c r="J859" s="5" t="s">
        <v>48</v>
      </c>
      <c r="K859" s="5">
        <v>1064795379</v>
      </c>
      <c r="L859" s="5">
        <v>3104688587</v>
      </c>
      <c r="M859" s="5" t="s">
        <v>49</v>
      </c>
    </row>
    <row r="860" spans="1:13" ht="15.75" x14ac:dyDescent="0.25">
      <c r="A860" s="3">
        <v>6971</v>
      </c>
      <c r="B860" s="3">
        <v>301254</v>
      </c>
      <c r="C860" s="3" t="s">
        <v>1775</v>
      </c>
      <c r="D860" s="3" t="s">
        <v>1776</v>
      </c>
      <c r="E860" s="6">
        <v>6976</v>
      </c>
      <c r="F860" s="3" t="s">
        <v>96</v>
      </c>
      <c r="G860" s="3" t="s">
        <v>27</v>
      </c>
      <c r="H860" s="3" t="str">
        <f>VLOOKUP(B860,'[1]Select territorios'!$C:$L,10,0)</f>
        <v>9.2912</v>
      </c>
      <c r="I860" s="3" t="str">
        <f>VLOOKUP(B860,'[1]Select territorios'!$C:$M,11,0)</f>
        <v>-73.9433</v>
      </c>
      <c r="J860" s="5" t="s">
        <v>48</v>
      </c>
      <c r="K860" s="5">
        <v>1064795379</v>
      </c>
      <c r="L860" s="5">
        <v>3104688587</v>
      </c>
      <c r="M860" s="5" t="s">
        <v>49</v>
      </c>
    </row>
    <row r="861" spans="1:13" ht="15.75" x14ac:dyDescent="0.25">
      <c r="A861" s="3">
        <v>6971</v>
      </c>
      <c r="B861" s="3">
        <v>301249</v>
      </c>
      <c r="C861" s="3" t="s">
        <v>1777</v>
      </c>
      <c r="D861" s="3" t="s">
        <v>1778</v>
      </c>
      <c r="E861" s="6">
        <v>8558</v>
      </c>
      <c r="F861" s="3" t="s">
        <v>62</v>
      </c>
      <c r="G861" s="3" t="s">
        <v>27</v>
      </c>
      <c r="H861" s="3" t="str">
        <f>VLOOKUP(B861,'[1]Select territorios'!$C:$L,10,0)</f>
        <v>10.48311547</v>
      </c>
      <c r="I861" s="3" t="str">
        <f>VLOOKUP(B861,'[1]Select territorios'!$C:$M,11,0)</f>
        <v>-73.27001026</v>
      </c>
      <c r="J861" s="5" t="s">
        <v>23</v>
      </c>
      <c r="K861" s="5">
        <v>1065600058</v>
      </c>
      <c r="L861" s="5">
        <v>3123009293</v>
      </c>
      <c r="M861" s="5" t="s">
        <v>24</v>
      </c>
    </row>
    <row r="862" spans="1:13" ht="15.75" x14ac:dyDescent="0.25">
      <c r="A862" s="3">
        <v>6971</v>
      </c>
      <c r="B862" s="3">
        <v>301253</v>
      </c>
      <c r="C862" s="3" t="s">
        <v>1779</v>
      </c>
      <c r="D862" s="3" t="s">
        <v>1780</v>
      </c>
      <c r="E862" s="6">
        <v>6977</v>
      </c>
      <c r="F862" s="3" t="s">
        <v>52</v>
      </c>
      <c r="G862" s="3" t="s">
        <v>1480</v>
      </c>
      <c r="H862" s="3" t="str">
        <f>VLOOKUP(B862,'[1]Select territorios'!$C:$L,10,0)</f>
        <v>9.39475248</v>
      </c>
      <c r="I862" s="3" t="str">
        <f>VLOOKUP(B862,'[1]Select territorios'!$C:$M,11,0)</f>
        <v>-73.4919605</v>
      </c>
      <c r="J862" s="5" t="s">
        <v>48</v>
      </c>
      <c r="K862" s="5">
        <v>1064795379</v>
      </c>
      <c r="L862" s="5">
        <v>3104688587</v>
      </c>
      <c r="M862" s="5" t="s">
        <v>49</v>
      </c>
    </row>
    <row r="863" spans="1:13" ht="15.75" x14ac:dyDescent="0.25">
      <c r="A863" s="3">
        <v>6971</v>
      </c>
      <c r="B863" s="3">
        <v>301236</v>
      </c>
      <c r="C863" s="3" t="s">
        <v>1781</v>
      </c>
      <c r="D863" s="3" t="s">
        <v>1782</v>
      </c>
      <c r="E863" s="6">
        <v>42463</v>
      </c>
      <c r="F863" s="3" t="s">
        <v>377</v>
      </c>
      <c r="G863" s="3" t="s">
        <v>27</v>
      </c>
      <c r="H863" s="3" t="str">
        <f>VLOOKUP(B863,'[1]Select territorios'!$C:$L,10,0)</f>
        <v>10.02982</v>
      </c>
      <c r="I863" s="3" t="str">
        <f>VLOOKUP(B863,'[1]Select territorios'!$C:$M,11,0)</f>
        <v>-73.23235</v>
      </c>
      <c r="J863" s="5" t="s">
        <v>58</v>
      </c>
      <c r="K863" s="5">
        <v>1193146338</v>
      </c>
      <c r="L863" s="5">
        <v>3202114923</v>
      </c>
      <c r="M863" s="5" t="s">
        <v>59</v>
      </c>
    </row>
    <row r="864" spans="1:13" ht="15.75" x14ac:dyDescent="0.25">
      <c r="A864" s="3">
        <v>6971</v>
      </c>
      <c r="B864" s="3">
        <v>301277</v>
      </c>
      <c r="C864" s="3" t="s">
        <v>1783</v>
      </c>
      <c r="D864" s="3" t="s">
        <v>1784</v>
      </c>
      <c r="E864" s="6">
        <v>6980</v>
      </c>
      <c r="F864" s="3" t="s">
        <v>384</v>
      </c>
      <c r="G864" s="3" t="s">
        <v>27</v>
      </c>
      <c r="H864" s="3" t="str">
        <f>VLOOKUP(B864,'[1]Select territorios'!$C:$L,10,0)</f>
        <v>10.156746</v>
      </c>
      <c r="I864" s="3" t="str">
        <f>VLOOKUP(B864,'[1]Select territorios'!$C:$M,11,0)</f>
        <v>-73.96708</v>
      </c>
      <c r="J864" s="5" t="s">
        <v>48</v>
      </c>
      <c r="K864" s="5">
        <v>1064795379</v>
      </c>
      <c r="L864" s="5">
        <v>3104688587</v>
      </c>
      <c r="M864" s="5" t="s">
        <v>49</v>
      </c>
    </row>
    <row r="865" spans="1:13" ht="15.75" x14ac:dyDescent="0.25">
      <c r="A865" s="3">
        <v>6971</v>
      </c>
      <c r="B865" s="3">
        <v>301279</v>
      </c>
      <c r="C865" s="3" t="s">
        <v>1785</v>
      </c>
      <c r="D865" s="3" t="s">
        <v>1786</v>
      </c>
      <c r="E865" s="6">
        <v>6980</v>
      </c>
      <c r="F865" s="3" t="s">
        <v>384</v>
      </c>
      <c r="G865" s="3" t="s">
        <v>27</v>
      </c>
      <c r="H865" s="3" t="str">
        <f>VLOOKUP(B865,'[1]Select territorios'!$C:$L,10,0)</f>
        <v>10.28811</v>
      </c>
      <c r="I865" s="3" t="str">
        <f>VLOOKUP(B865,'[1]Select territorios'!$C:$M,11,0)</f>
        <v>-73.892336</v>
      </c>
      <c r="J865" s="5" t="s">
        <v>48</v>
      </c>
      <c r="K865" s="5">
        <v>1064795379</v>
      </c>
      <c r="L865" s="5">
        <v>3104688587</v>
      </c>
      <c r="M865" s="5" t="s">
        <v>49</v>
      </c>
    </row>
    <row r="866" spans="1:13" ht="15.75" x14ac:dyDescent="0.25">
      <c r="A866" s="3">
        <v>6971</v>
      </c>
      <c r="B866" s="3">
        <v>301413</v>
      </c>
      <c r="C866" s="3" t="s">
        <v>1787</v>
      </c>
      <c r="D866" s="3" t="s">
        <v>1788</v>
      </c>
      <c r="E866" s="6">
        <v>42463</v>
      </c>
      <c r="F866" s="3" t="s">
        <v>377</v>
      </c>
      <c r="G866" s="3" t="s">
        <v>27</v>
      </c>
      <c r="H866" s="3" t="str">
        <f>VLOOKUP(B866,'[1]Select territorios'!$C:$L,10,0)</f>
        <v>10.033268</v>
      </c>
      <c r="I866" s="3" t="str">
        <f>VLOOKUP(B866,'[1]Select territorios'!$C:$M,11,0)</f>
        <v>-73.229396</v>
      </c>
      <c r="J866" s="5" t="s">
        <v>58</v>
      </c>
      <c r="K866" s="5">
        <v>1193146338</v>
      </c>
      <c r="L866" s="5">
        <v>3202114923</v>
      </c>
      <c r="M866" s="5" t="s">
        <v>59</v>
      </c>
    </row>
    <row r="867" spans="1:13" ht="15.75" x14ac:dyDescent="0.25">
      <c r="A867" s="3">
        <v>6971</v>
      </c>
      <c r="B867" s="3">
        <v>301436</v>
      </c>
      <c r="C867" s="3" t="s">
        <v>1789</v>
      </c>
      <c r="D867" s="3" t="s">
        <v>1790</v>
      </c>
      <c r="E867" s="6">
        <v>6989</v>
      </c>
      <c r="F867" s="3" t="s">
        <v>39</v>
      </c>
      <c r="G867" s="3" t="s">
        <v>27</v>
      </c>
      <c r="H867" s="3" t="str">
        <f>VLOOKUP(B867,'[1]Select territorios'!$C:$L,10,0)</f>
        <v>10.3886483</v>
      </c>
      <c r="I867" s="3" t="str">
        <f>VLOOKUP(B867,'[1]Select territorios'!$C:$M,11,0)</f>
        <v>-73.034296</v>
      </c>
      <c r="J867" s="5" t="s">
        <v>40</v>
      </c>
      <c r="K867" s="5">
        <v>1003275622</v>
      </c>
      <c r="L867" s="5">
        <v>3218847746</v>
      </c>
      <c r="M867" s="5" t="s">
        <v>41</v>
      </c>
    </row>
    <row r="868" spans="1:13" ht="15.75" x14ac:dyDescent="0.25">
      <c r="A868" s="3">
        <v>6971</v>
      </c>
      <c r="B868" s="3">
        <v>301425</v>
      </c>
      <c r="C868" s="3" t="s">
        <v>1791</v>
      </c>
      <c r="D868" s="3" t="s">
        <v>1792</v>
      </c>
      <c r="E868" s="6">
        <v>6989</v>
      </c>
      <c r="F868" s="3" t="s">
        <v>39</v>
      </c>
      <c r="G868" s="3" t="s">
        <v>27</v>
      </c>
      <c r="H868" s="3" t="str">
        <f>VLOOKUP(B868,'[1]Select territorios'!$C:$L,10,0)</f>
        <v>10.389885</v>
      </c>
      <c r="I868" s="3" t="str">
        <f>VLOOKUP(B868,'[1]Select territorios'!$C:$M,11,0)</f>
        <v>-73.0280383</v>
      </c>
      <c r="J868" s="5" t="s">
        <v>40</v>
      </c>
      <c r="K868" s="5">
        <v>1003275622</v>
      </c>
      <c r="L868" s="5">
        <v>3218847746</v>
      </c>
      <c r="M868" s="5" t="s">
        <v>41</v>
      </c>
    </row>
    <row r="869" spans="1:13" ht="15.75" x14ac:dyDescent="0.25">
      <c r="A869" s="3">
        <v>6971</v>
      </c>
      <c r="B869" s="3">
        <v>301481</v>
      </c>
      <c r="C869" s="3" t="s">
        <v>1793</v>
      </c>
      <c r="D869" s="3" t="s">
        <v>1794</v>
      </c>
      <c r="E869" s="6">
        <v>8552</v>
      </c>
      <c r="F869" s="3" t="s">
        <v>30</v>
      </c>
      <c r="G869" s="3" t="s">
        <v>27</v>
      </c>
      <c r="H869" s="3" t="str">
        <f>VLOOKUP(B869,'[1]Select territorios'!$C:$L,10,0)</f>
        <v>10.454952</v>
      </c>
      <c r="I869" s="3" t="str">
        <f>VLOOKUP(B869,'[1]Select territorios'!$C:$M,11,0)</f>
        <v>-73.258583</v>
      </c>
      <c r="J869" s="5" t="s">
        <v>17</v>
      </c>
      <c r="K869" s="5">
        <v>15173890</v>
      </c>
      <c r="L869" s="5">
        <v>3002039991</v>
      </c>
      <c r="M869" s="5" t="s">
        <v>18</v>
      </c>
    </row>
    <row r="870" spans="1:13" ht="15.75" x14ac:dyDescent="0.25">
      <c r="A870" s="3">
        <v>6971</v>
      </c>
      <c r="B870" s="3">
        <v>301460</v>
      </c>
      <c r="C870" s="3" t="s">
        <v>1795</v>
      </c>
      <c r="D870" s="3" t="s">
        <v>1796</v>
      </c>
      <c r="E870" s="6">
        <v>6996</v>
      </c>
      <c r="F870" s="3" t="s">
        <v>113</v>
      </c>
      <c r="G870" s="3" t="s">
        <v>27</v>
      </c>
      <c r="H870" s="3" t="str">
        <f>VLOOKUP(B870,'[1]Select territorios'!$C:$L,10,0)</f>
        <v>7.7574018</v>
      </c>
      <c r="I870" s="3" t="str">
        <f>VLOOKUP(B870,'[1]Select territorios'!$C:$M,11,0)</f>
        <v>-73.3954395</v>
      </c>
      <c r="J870" s="5" t="s">
        <v>107</v>
      </c>
      <c r="K870" s="5">
        <v>1005281494</v>
      </c>
      <c r="L870" s="5">
        <v>3158541035</v>
      </c>
      <c r="M870" s="5" t="s">
        <v>108</v>
      </c>
    </row>
    <row r="871" spans="1:13" ht="15.75" x14ac:dyDescent="0.25">
      <c r="A871" s="3">
        <v>6971</v>
      </c>
      <c r="B871" s="3">
        <v>301482</v>
      </c>
      <c r="C871" s="3" t="s">
        <v>1797</v>
      </c>
      <c r="D871" s="3" t="s">
        <v>1798</v>
      </c>
      <c r="E871" s="6">
        <v>6985</v>
      </c>
      <c r="F871" s="3" t="s">
        <v>101</v>
      </c>
      <c r="G871" s="3" t="s">
        <v>27</v>
      </c>
      <c r="H871" s="3" t="str">
        <f>VLOOKUP(B871,'[1]Select territorios'!$C:$L,10,0)</f>
        <v>9.570669</v>
      </c>
      <c r="I871" s="3" t="str">
        <f>VLOOKUP(B871,'[1]Select territorios'!$C:$M,11,0)</f>
        <v>-73.341430</v>
      </c>
      <c r="J871" s="5" t="s">
        <v>58</v>
      </c>
      <c r="K871" s="5">
        <v>1193146338</v>
      </c>
      <c r="L871" s="5">
        <v>3202114923</v>
      </c>
      <c r="M871" s="5" t="s">
        <v>59</v>
      </c>
    </row>
    <row r="872" spans="1:13" ht="15.75" x14ac:dyDescent="0.25">
      <c r="A872" s="3">
        <v>6971</v>
      </c>
      <c r="B872" s="3">
        <v>301453</v>
      </c>
      <c r="C872" s="3" t="s">
        <v>1799</v>
      </c>
      <c r="D872" s="3" t="s">
        <v>1800</v>
      </c>
      <c r="E872" s="6">
        <v>6979</v>
      </c>
      <c r="F872" s="3" t="s">
        <v>57</v>
      </c>
      <c r="G872" s="3" t="s">
        <v>27</v>
      </c>
      <c r="H872" s="3" t="str">
        <f>VLOOKUP(B872,'[1]Select territorios'!$C:$L,10,0)</f>
        <v>9.197503</v>
      </c>
      <c r="I872" s="3" t="str">
        <f>VLOOKUP(B872,'[1]Select territorios'!$C:$M,11,0)</f>
        <v>-73.536028</v>
      </c>
      <c r="J872" s="5" t="s">
        <v>58</v>
      </c>
      <c r="K872" s="5">
        <v>1193146338</v>
      </c>
      <c r="L872" s="5">
        <v>3202114923</v>
      </c>
      <c r="M872" s="5" t="s">
        <v>59</v>
      </c>
    </row>
    <row r="873" spans="1:13" ht="15.75" x14ac:dyDescent="0.25">
      <c r="A873" s="3">
        <v>6971</v>
      </c>
      <c r="B873" s="3">
        <v>301480</v>
      </c>
      <c r="C873" s="3" t="s">
        <v>1801</v>
      </c>
      <c r="D873" s="3" t="s">
        <v>1802</v>
      </c>
      <c r="E873" s="6">
        <v>6988</v>
      </c>
      <c r="F873" s="3" t="s">
        <v>227</v>
      </c>
      <c r="G873" s="3" t="s">
        <v>1480</v>
      </c>
      <c r="H873" s="3" t="str">
        <f>VLOOKUP(B873,'[1]Select territorios'!$C:$L,10,0)</f>
        <v>10.3689</v>
      </c>
      <c r="I873" s="3" t="str">
        <f>VLOOKUP(B873,'[1]Select territorios'!$C:$M,11,0)</f>
        <v>-73.2531</v>
      </c>
      <c r="J873" s="5" t="s">
        <v>23</v>
      </c>
      <c r="K873" s="5">
        <v>1065600058</v>
      </c>
      <c r="L873" s="5">
        <v>3123009293</v>
      </c>
      <c r="M873" s="5" t="s">
        <v>24</v>
      </c>
    </row>
    <row r="874" spans="1:13" ht="15.75" x14ac:dyDescent="0.25">
      <c r="A874" s="3">
        <v>6971</v>
      </c>
      <c r="B874" s="3">
        <v>301459</v>
      </c>
      <c r="C874" s="3" t="s">
        <v>1803</v>
      </c>
      <c r="D874" s="3" t="s">
        <v>1804</v>
      </c>
      <c r="E874" s="6">
        <v>8558</v>
      </c>
      <c r="F874" s="3" t="s">
        <v>62</v>
      </c>
      <c r="G874" s="3" t="s">
        <v>27</v>
      </c>
      <c r="H874" s="3" t="str">
        <f>VLOOKUP(B874,'[1]Select territorios'!$C:$L,10,0)</f>
        <v>10.47690774</v>
      </c>
      <c r="I874" s="3" t="str">
        <f>VLOOKUP(B874,'[1]Select territorios'!$C:$M,11,0)</f>
        <v>-73.26830693</v>
      </c>
      <c r="J874" s="5" t="s">
        <v>23</v>
      </c>
      <c r="K874" s="5">
        <v>1065600058</v>
      </c>
      <c r="L874" s="5">
        <v>3123009293</v>
      </c>
      <c r="M874" s="5" t="s">
        <v>24</v>
      </c>
    </row>
    <row r="875" spans="1:13" ht="15.75" x14ac:dyDescent="0.25">
      <c r="A875" s="3">
        <v>6971</v>
      </c>
      <c r="B875" s="3">
        <v>301537</v>
      </c>
      <c r="C875" s="3" t="s">
        <v>1805</v>
      </c>
      <c r="D875" s="3" t="s">
        <v>1806</v>
      </c>
      <c r="E875" s="6">
        <v>6976</v>
      </c>
      <c r="F875" s="3" t="s">
        <v>96</v>
      </c>
      <c r="G875" s="3" t="s">
        <v>27</v>
      </c>
      <c r="H875" s="3" t="str">
        <f>VLOOKUP(B875,'[1]Select territorios'!$C:$L,10,0)</f>
        <v>9.2566</v>
      </c>
      <c r="I875" s="3" t="str">
        <f>VLOOKUP(B875,'[1]Select territorios'!$C:$M,11,0)</f>
        <v>-73.8138</v>
      </c>
      <c r="J875" s="5" t="s">
        <v>48</v>
      </c>
      <c r="K875" s="5">
        <v>1064795379</v>
      </c>
      <c r="L875" s="5">
        <v>3104688587</v>
      </c>
      <c r="M875" s="5" t="s">
        <v>49</v>
      </c>
    </row>
    <row r="876" spans="1:13" ht="15.75" x14ac:dyDescent="0.25">
      <c r="A876" s="3">
        <v>6971</v>
      </c>
      <c r="B876" s="3">
        <v>301529</v>
      </c>
      <c r="C876" s="3" t="s">
        <v>1807</v>
      </c>
      <c r="D876" s="3" t="s">
        <v>1808</v>
      </c>
      <c r="E876" s="6">
        <v>6980</v>
      </c>
      <c r="F876" s="3" t="s">
        <v>384</v>
      </c>
      <c r="G876" s="3" t="s">
        <v>27</v>
      </c>
      <c r="H876" s="3" t="str">
        <f>VLOOKUP(B876,'[1]Select territorios'!$C:$L,10,0)</f>
        <v>10.14147333</v>
      </c>
      <c r="I876" s="3" t="str">
        <f>VLOOKUP(B876,'[1]Select territorios'!$C:$M,11,0)</f>
        <v>-73.966995</v>
      </c>
      <c r="J876" s="5" t="s">
        <v>48</v>
      </c>
      <c r="K876" s="5">
        <v>1064795379</v>
      </c>
      <c r="L876" s="5">
        <v>3104688587</v>
      </c>
      <c r="M876" s="5" t="s">
        <v>49</v>
      </c>
    </row>
    <row r="877" spans="1:13" ht="15.75" x14ac:dyDescent="0.25">
      <c r="A877" s="3">
        <v>6971</v>
      </c>
      <c r="B877" s="3">
        <v>301551</v>
      </c>
      <c r="C877" s="3" t="s">
        <v>1809</v>
      </c>
      <c r="D877" s="3" t="s">
        <v>1810</v>
      </c>
      <c r="E877" s="6">
        <v>6986</v>
      </c>
      <c r="F877" s="3" t="s">
        <v>294</v>
      </c>
      <c r="G877" s="3" t="s">
        <v>27</v>
      </c>
      <c r="H877" s="3" t="str">
        <f>VLOOKUP(B877,'[1]Select territorios'!$C:$L,10,0)</f>
        <v>9.623341</v>
      </c>
      <c r="I877" s="3" t="str">
        <f>VLOOKUP(B877,'[1]Select territorios'!$C:$M,11,0)</f>
        <v>-73.593121</v>
      </c>
      <c r="J877" s="5" t="s">
        <v>48</v>
      </c>
      <c r="K877" s="5">
        <v>1064795379</v>
      </c>
      <c r="L877" s="5">
        <v>3104688587</v>
      </c>
      <c r="M877" s="5" t="s">
        <v>49</v>
      </c>
    </row>
    <row r="878" spans="1:13" ht="15.75" x14ac:dyDescent="0.25">
      <c r="A878" s="3">
        <v>6971</v>
      </c>
      <c r="B878" s="3">
        <v>301517</v>
      </c>
      <c r="C878" s="3" t="s">
        <v>1811</v>
      </c>
      <c r="D878" s="3" t="s">
        <v>822</v>
      </c>
      <c r="E878" s="6">
        <v>6977</v>
      </c>
      <c r="F878" s="3" t="s">
        <v>52</v>
      </c>
      <c r="G878" s="3" t="s">
        <v>1480</v>
      </c>
      <c r="H878" s="3" t="str">
        <f>VLOOKUP(B878,'[1]Select territorios'!$C:$L,10,0)</f>
        <v>9.36478873</v>
      </c>
      <c r="I878" s="3" t="str">
        <f>VLOOKUP(B878,'[1]Select territorios'!$C:$M,11,0)</f>
        <v>-73.6005898</v>
      </c>
      <c r="J878" s="5" t="s">
        <v>48</v>
      </c>
      <c r="K878" s="5">
        <v>1064795379</v>
      </c>
      <c r="L878" s="5">
        <v>3104688587</v>
      </c>
      <c r="M878" s="5" t="s">
        <v>49</v>
      </c>
    </row>
    <row r="879" spans="1:13" ht="15.75" x14ac:dyDescent="0.25">
      <c r="A879" s="3">
        <v>6971</v>
      </c>
      <c r="B879" s="3">
        <v>301519</v>
      </c>
      <c r="C879" s="3" t="s">
        <v>1812</v>
      </c>
      <c r="D879" s="3" t="s">
        <v>1813</v>
      </c>
      <c r="E879" s="6">
        <v>6991</v>
      </c>
      <c r="F879" s="3" t="s">
        <v>70</v>
      </c>
      <c r="G879" s="3" t="s">
        <v>27</v>
      </c>
      <c r="H879" s="3" t="str">
        <f>VLOOKUP(B879,'[1]Select territorios'!$C:$L,10,0)</f>
        <v>8.6869</v>
      </c>
      <c r="I879" s="3" t="str">
        <f>VLOOKUP(B879,'[1]Select territorios'!$C:$M,11,0)</f>
        <v>-73.6719</v>
      </c>
      <c r="J879" s="5" t="s">
        <v>71</v>
      </c>
      <c r="K879" s="5">
        <v>1065818056</v>
      </c>
      <c r="L879" s="5">
        <v>3145467066</v>
      </c>
      <c r="M879" s="5" t="s">
        <v>72</v>
      </c>
    </row>
    <row r="880" spans="1:13" ht="15.75" x14ac:dyDescent="0.25">
      <c r="A880" s="3">
        <v>6971</v>
      </c>
      <c r="B880" s="3">
        <v>301511</v>
      </c>
      <c r="C880" s="3" t="s">
        <v>1814</v>
      </c>
      <c r="D880" s="3" t="s">
        <v>1815</v>
      </c>
      <c r="E880" s="6">
        <v>6988</v>
      </c>
      <c r="F880" s="3" t="s">
        <v>227</v>
      </c>
      <c r="G880" s="3" t="s">
        <v>1480</v>
      </c>
      <c r="H880" s="3" t="str">
        <f>VLOOKUP(B880,'[1]Select territorios'!$C:$L,10,0)</f>
        <v>10.3914</v>
      </c>
      <c r="I880" s="3" t="str">
        <f>VLOOKUP(B880,'[1]Select territorios'!$C:$M,11,0)</f>
        <v>-73.1730</v>
      </c>
      <c r="J880" s="5" t="s">
        <v>23</v>
      </c>
      <c r="K880" s="5">
        <v>1065600058</v>
      </c>
      <c r="L880" s="5">
        <v>3123009293</v>
      </c>
      <c r="M880" s="5" t="s">
        <v>24</v>
      </c>
    </row>
    <row r="881" spans="1:13" ht="15.75" x14ac:dyDescent="0.25">
      <c r="A881" s="3">
        <v>6971</v>
      </c>
      <c r="B881" s="3">
        <v>301576</v>
      </c>
      <c r="C881" s="3" t="s">
        <v>1816</v>
      </c>
      <c r="D881" s="3" t="s">
        <v>1817</v>
      </c>
      <c r="E881" s="6">
        <v>6975</v>
      </c>
      <c r="F881" s="3" t="s">
        <v>78</v>
      </c>
      <c r="G881" s="3" t="s">
        <v>27</v>
      </c>
      <c r="H881" s="3" t="str">
        <f>VLOOKUP(B881,'[1]Select territorios'!$C:$L,10,0)</f>
        <v>10.00845</v>
      </c>
      <c r="I881" s="3" t="str">
        <f>VLOOKUP(B881,'[1]Select territorios'!$C:$M,11,0)</f>
        <v>-73.70054</v>
      </c>
      <c r="J881" s="5" t="s">
        <v>48</v>
      </c>
      <c r="K881" s="5">
        <v>1064795379</v>
      </c>
      <c r="L881" s="5">
        <v>3104688587</v>
      </c>
      <c r="M881" s="5" t="s">
        <v>49</v>
      </c>
    </row>
    <row r="882" spans="1:13" ht="15.75" x14ac:dyDescent="0.25">
      <c r="A882" s="3">
        <v>6971</v>
      </c>
      <c r="B882" s="3">
        <v>301547</v>
      </c>
      <c r="C882" s="3" t="s">
        <v>1818</v>
      </c>
      <c r="D882" s="3" t="s">
        <v>1819</v>
      </c>
      <c r="E882" s="6">
        <v>6977</v>
      </c>
      <c r="F882" s="3" t="s">
        <v>52</v>
      </c>
      <c r="G882" s="3" t="s">
        <v>1480</v>
      </c>
      <c r="H882" s="3" t="str">
        <f>VLOOKUP(B882,'[1]Select territorios'!$C:$L,10,0)</f>
        <v>9.362433</v>
      </c>
      <c r="I882" s="3" t="str">
        <f>VLOOKUP(B882,'[1]Select territorios'!$C:$M,11,0)</f>
        <v>-73.604001</v>
      </c>
      <c r="J882" s="5" t="s">
        <v>48</v>
      </c>
      <c r="K882" s="5">
        <v>1064795379</v>
      </c>
      <c r="L882" s="5">
        <v>3104688587</v>
      </c>
      <c r="M882" s="5" t="s">
        <v>49</v>
      </c>
    </row>
    <row r="883" spans="1:13" ht="15.75" x14ac:dyDescent="0.25">
      <c r="A883" s="3">
        <v>6971</v>
      </c>
      <c r="B883" s="3">
        <v>301668</v>
      </c>
      <c r="C883" s="3" t="s">
        <v>1820</v>
      </c>
      <c r="D883" s="3" t="s">
        <v>1821</v>
      </c>
      <c r="E883" s="6">
        <v>6973</v>
      </c>
      <c r="F883" s="3" t="s">
        <v>128</v>
      </c>
      <c r="G883" s="3" t="s">
        <v>27</v>
      </c>
      <c r="H883" s="3" t="str">
        <f>VLOOKUP(B883,'[1]Select territorios'!$C:$L,10,0)</f>
        <v>9.48961</v>
      </c>
      <c r="I883" s="3" t="str">
        <f>VLOOKUP(B883,'[1]Select territorios'!$C:$M,11,0)</f>
        <v>-73.97359</v>
      </c>
      <c r="J883" s="5" t="s">
        <v>48</v>
      </c>
      <c r="K883" s="5">
        <v>1064795379</v>
      </c>
      <c r="L883" s="5">
        <v>3104688587</v>
      </c>
      <c r="M883" s="5" t="s">
        <v>49</v>
      </c>
    </row>
    <row r="884" spans="1:13" ht="15.75" x14ac:dyDescent="0.25">
      <c r="A884" s="3">
        <v>6971</v>
      </c>
      <c r="B884" s="3">
        <v>301667</v>
      </c>
      <c r="C884" s="3" t="s">
        <v>1822</v>
      </c>
      <c r="D884" s="3" t="s">
        <v>1823</v>
      </c>
      <c r="E884" s="6">
        <v>6980</v>
      </c>
      <c r="F884" s="3" t="s">
        <v>384</v>
      </c>
      <c r="G884" s="3" t="s">
        <v>27</v>
      </c>
      <c r="H884" s="3" t="str">
        <f>VLOOKUP(B884,'[1]Select territorios'!$C:$L,10,0)</f>
        <v>10.148408333</v>
      </c>
      <c r="I884" s="3" t="str">
        <f>VLOOKUP(B884,'[1]Select territorios'!$C:$M,11,0)</f>
        <v>-73.95885166</v>
      </c>
      <c r="J884" s="5" t="s">
        <v>48</v>
      </c>
      <c r="K884" s="5">
        <v>1064795379</v>
      </c>
      <c r="L884" s="5">
        <v>3104688587</v>
      </c>
      <c r="M884" s="5" t="s">
        <v>49</v>
      </c>
    </row>
    <row r="885" spans="1:13" ht="15.75" x14ac:dyDescent="0.25">
      <c r="A885" s="3">
        <v>6971</v>
      </c>
      <c r="B885" s="3">
        <v>301639</v>
      </c>
      <c r="C885" s="3" t="s">
        <v>1824</v>
      </c>
      <c r="D885" s="3" t="s">
        <v>1825</v>
      </c>
      <c r="E885" s="6">
        <v>6974</v>
      </c>
      <c r="F885" s="3" t="s">
        <v>123</v>
      </c>
      <c r="G885" s="3" t="s">
        <v>27</v>
      </c>
      <c r="H885" s="3" t="str">
        <f>VLOOKUP(B885,'[1]Select territorios'!$C:$L,10,0)</f>
        <v>9.59083</v>
      </c>
      <c r="I885" s="3" t="str">
        <f>VLOOKUP(B885,'[1]Select territorios'!$C:$M,11,0)</f>
        <v>-73.23433</v>
      </c>
      <c r="J885" s="5" t="s">
        <v>58</v>
      </c>
      <c r="K885" s="5">
        <v>1193146338</v>
      </c>
      <c r="L885" s="5">
        <v>3202114923</v>
      </c>
      <c r="M885" s="5" t="s">
        <v>59</v>
      </c>
    </row>
    <row r="886" spans="1:13" ht="15.75" x14ac:dyDescent="0.25">
      <c r="A886" s="3">
        <v>6971</v>
      </c>
      <c r="B886" s="3">
        <v>301513</v>
      </c>
      <c r="C886" s="3" t="s">
        <v>1826</v>
      </c>
      <c r="D886" s="3" t="s">
        <v>1827</v>
      </c>
      <c r="E886" s="6">
        <v>17191</v>
      </c>
      <c r="F886" s="3" t="s">
        <v>186</v>
      </c>
      <c r="G886" s="3" t="s">
        <v>27</v>
      </c>
      <c r="H886" s="3" t="str">
        <f>VLOOKUP(B886,'[1]Select territorios'!$C:$L,10,0)</f>
        <v>10.4523527</v>
      </c>
      <c r="I886" s="3" t="str">
        <f>VLOOKUP(B886,'[1]Select territorios'!$C:$M,11,0)</f>
        <v>-73.2689803</v>
      </c>
      <c r="J886" s="5" t="s">
        <v>17</v>
      </c>
      <c r="K886" s="5">
        <v>15173890</v>
      </c>
      <c r="L886" s="5">
        <v>3002039991</v>
      </c>
      <c r="M886" s="5" t="s">
        <v>18</v>
      </c>
    </row>
    <row r="887" spans="1:13" ht="15.75" x14ac:dyDescent="0.25">
      <c r="A887" s="3">
        <v>6971</v>
      </c>
      <c r="B887" s="3">
        <v>301669</v>
      </c>
      <c r="C887" s="3" t="s">
        <v>1828</v>
      </c>
      <c r="D887" s="3" t="s">
        <v>1829</v>
      </c>
      <c r="E887" s="6">
        <v>6973</v>
      </c>
      <c r="F887" s="3" t="s">
        <v>128</v>
      </c>
      <c r="G887" s="3" t="s">
        <v>27</v>
      </c>
      <c r="H887" s="3" t="str">
        <f>VLOOKUP(B887,'[1]Select territorios'!$C:$L,10,0)</f>
        <v>9.49869</v>
      </c>
      <c r="I887" s="3" t="str">
        <f>VLOOKUP(B887,'[1]Select territorios'!$C:$M,11,0)</f>
        <v>-73.97658</v>
      </c>
      <c r="J887" s="5" t="s">
        <v>48</v>
      </c>
      <c r="K887" s="5">
        <v>1064795379</v>
      </c>
      <c r="L887" s="5">
        <v>3104688587</v>
      </c>
      <c r="M887" s="5" t="s">
        <v>49</v>
      </c>
    </row>
    <row r="888" spans="1:13" ht="15.75" x14ac:dyDescent="0.25">
      <c r="A888" s="3">
        <v>6971</v>
      </c>
      <c r="B888" s="3">
        <v>301666</v>
      </c>
      <c r="C888" s="3" t="s">
        <v>1830</v>
      </c>
      <c r="D888" s="3" t="s">
        <v>1831</v>
      </c>
      <c r="E888" s="6">
        <v>8560</v>
      </c>
      <c r="F888" s="3" t="s">
        <v>161</v>
      </c>
      <c r="G888" s="3" t="s">
        <v>27</v>
      </c>
      <c r="H888" s="3" t="str">
        <f>VLOOKUP(B888,'[1]Select territorios'!$C:$L,10,0)</f>
        <v>8.31718284</v>
      </c>
      <c r="I888" s="3" t="str">
        <f>VLOOKUP(B888,'[1]Select territorios'!$C:$M,11,0)</f>
        <v>-73.58922083</v>
      </c>
      <c r="J888" s="5" t="s">
        <v>107</v>
      </c>
      <c r="K888" s="5">
        <v>1005281494</v>
      </c>
      <c r="L888" s="5">
        <v>3158541035</v>
      </c>
      <c r="M888" s="5" t="s">
        <v>108</v>
      </c>
    </row>
    <row r="889" spans="1:13" ht="15.75" x14ac:dyDescent="0.25">
      <c r="A889" s="3">
        <v>6971</v>
      </c>
      <c r="B889" s="3">
        <v>302143</v>
      </c>
      <c r="C889" s="3" t="s">
        <v>1832</v>
      </c>
      <c r="D889" s="3" t="s">
        <v>1833</v>
      </c>
      <c r="E889" s="6">
        <v>6979</v>
      </c>
      <c r="F889" s="3" t="s">
        <v>57</v>
      </c>
      <c r="G889" s="3" t="s">
        <v>27</v>
      </c>
      <c r="H889" s="3" t="str">
        <f>VLOOKUP(B889,'[1]Select territorios'!$C:$L,10,0)</f>
        <v>9.200508</v>
      </c>
      <c r="I889" s="3" t="str">
        <f>VLOOKUP(B889,'[1]Select territorios'!$C:$M,11,0)</f>
        <v>-73.533635</v>
      </c>
      <c r="J889" s="5" t="s">
        <v>58</v>
      </c>
      <c r="K889" s="5">
        <v>1193146338</v>
      </c>
      <c r="L889" s="5">
        <v>3202114923</v>
      </c>
      <c r="M889" s="5" t="s">
        <v>59</v>
      </c>
    </row>
    <row r="890" spans="1:13" ht="15.75" x14ac:dyDescent="0.25">
      <c r="A890" s="3">
        <v>6971</v>
      </c>
      <c r="B890" s="3">
        <v>302165</v>
      </c>
      <c r="C890" s="3" t="s">
        <v>1834</v>
      </c>
      <c r="D890" s="3" t="s">
        <v>1835</v>
      </c>
      <c r="E890" s="6">
        <v>6986</v>
      </c>
      <c r="F890" s="3" t="s">
        <v>294</v>
      </c>
      <c r="G890" s="3" t="s">
        <v>27</v>
      </c>
      <c r="H890" s="3" t="str">
        <f>VLOOKUP(B890,'[1]Select territorios'!$C:$L,10,0)</f>
        <v>9.619276</v>
      </c>
      <c r="I890" s="3" t="str">
        <f>VLOOKUP(B890,'[1]Select territorios'!$C:$M,11,0)</f>
        <v>-73.592030</v>
      </c>
      <c r="J890" s="5" t="s">
        <v>48</v>
      </c>
      <c r="K890" s="5">
        <v>1064795379</v>
      </c>
      <c r="L890" s="5">
        <v>3104688587</v>
      </c>
      <c r="M890" s="5" t="s">
        <v>49</v>
      </c>
    </row>
    <row r="891" spans="1:13" ht="15.75" x14ac:dyDescent="0.25">
      <c r="A891" s="3">
        <v>6971</v>
      </c>
      <c r="B891" s="3">
        <v>302140</v>
      </c>
      <c r="C891" s="3" t="s">
        <v>1836</v>
      </c>
      <c r="D891" s="3" t="s">
        <v>1837</v>
      </c>
      <c r="E891" s="6">
        <v>6977</v>
      </c>
      <c r="F891" s="3" t="s">
        <v>52</v>
      </c>
      <c r="G891" s="3" t="s">
        <v>1480</v>
      </c>
      <c r="H891" s="3" t="str">
        <f>VLOOKUP(B891,'[1]Select territorios'!$C:$L,10,0)</f>
        <v>9.46574334</v>
      </c>
      <c r="I891" s="3" t="str">
        <f>VLOOKUP(B891,'[1]Select territorios'!$C:$M,11,0)</f>
        <v>-73.55431118</v>
      </c>
      <c r="J891" s="5" t="s">
        <v>48</v>
      </c>
      <c r="K891" s="5">
        <v>1064795379</v>
      </c>
      <c r="L891" s="5">
        <v>3104688587</v>
      </c>
      <c r="M891" s="5" t="s">
        <v>49</v>
      </c>
    </row>
    <row r="892" spans="1:13" ht="15.75" x14ac:dyDescent="0.25">
      <c r="A892" s="3">
        <v>6971</v>
      </c>
      <c r="B892" s="3">
        <v>302167</v>
      </c>
      <c r="C892" s="3" t="s">
        <v>1838</v>
      </c>
      <c r="D892" s="3" t="s">
        <v>1839</v>
      </c>
      <c r="E892" s="6">
        <v>6985</v>
      </c>
      <c r="F892" s="3" t="s">
        <v>101</v>
      </c>
      <c r="G892" s="3" t="s">
        <v>27</v>
      </c>
      <c r="H892" s="3" t="str">
        <f>VLOOKUP(B892,'[1]Select territorios'!$C:$L,10,0)</f>
        <v>9.568286</v>
      </c>
      <c r="I892" s="3" t="str">
        <f>VLOOKUP(B892,'[1]Select territorios'!$C:$M,11,0)</f>
        <v>-73.337994</v>
      </c>
      <c r="J892" s="5" t="s">
        <v>58</v>
      </c>
      <c r="K892" s="5">
        <v>1193146338</v>
      </c>
      <c r="L892" s="5">
        <v>3202114923</v>
      </c>
      <c r="M892" s="5" t="s">
        <v>59</v>
      </c>
    </row>
    <row r="893" spans="1:13" ht="15.75" x14ac:dyDescent="0.25">
      <c r="A893" s="3">
        <v>6971</v>
      </c>
      <c r="B893" s="3">
        <v>302194</v>
      </c>
      <c r="C893" s="3" t="s">
        <v>1840</v>
      </c>
      <c r="D893" s="3" t="s">
        <v>1841</v>
      </c>
      <c r="E893" s="6">
        <v>45388</v>
      </c>
      <c r="F893" s="3" t="s">
        <v>196</v>
      </c>
      <c r="G893" s="3" t="s">
        <v>27</v>
      </c>
      <c r="H893" s="3" t="str">
        <f>VLOOKUP(B893,'[1]Select territorios'!$C:$L,10,0)</f>
        <v>9.97331833</v>
      </c>
      <c r="I893" s="3" t="str">
        <f>VLOOKUP(B893,'[1]Select territorios'!$C:$M,11,0)</f>
        <v>-73.89335</v>
      </c>
      <c r="J893" s="5" t="s">
        <v>48</v>
      </c>
      <c r="K893" s="5">
        <v>1064795379</v>
      </c>
      <c r="L893" s="5">
        <v>3104688587</v>
      </c>
      <c r="M893" s="5" t="s">
        <v>49</v>
      </c>
    </row>
    <row r="894" spans="1:13" ht="15.75" x14ac:dyDescent="0.25">
      <c r="A894" s="3">
        <v>6971</v>
      </c>
      <c r="B894" s="3">
        <v>302178</v>
      </c>
      <c r="C894" s="3" t="s">
        <v>1842</v>
      </c>
      <c r="D894" s="3" t="s">
        <v>1843</v>
      </c>
      <c r="E894" s="6">
        <v>6974</v>
      </c>
      <c r="F894" s="3" t="s">
        <v>123</v>
      </c>
      <c r="G894" s="3" t="s">
        <v>27</v>
      </c>
      <c r="H894" s="3" t="str">
        <f>VLOOKUP(B894,'[1]Select territorios'!$C:$L,10,0)</f>
        <v>9.70472</v>
      </c>
      <c r="I894" s="3" t="str">
        <f>VLOOKUP(B894,'[1]Select territorios'!$C:$M,11,0)</f>
        <v>-73.28065</v>
      </c>
      <c r="J894" s="5" t="s">
        <v>58</v>
      </c>
      <c r="K894" s="5">
        <v>1193146338</v>
      </c>
      <c r="L894" s="5">
        <v>3202114923</v>
      </c>
      <c r="M894" s="5" t="s">
        <v>59</v>
      </c>
    </row>
    <row r="895" spans="1:13" ht="15.75" x14ac:dyDescent="0.25">
      <c r="A895" s="3">
        <v>6971</v>
      </c>
      <c r="B895" s="3">
        <v>302196</v>
      </c>
      <c r="C895" s="3" t="s">
        <v>1844</v>
      </c>
      <c r="D895" s="3" t="s">
        <v>1845</v>
      </c>
      <c r="E895" s="6">
        <v>6976</v>
      </c>
      <c r="F895" s="3" t="s">
        <v>96</v>
      </c>
      <c r="G895" s="3" t="s">
        <v>27</v>
      </c>
      <c r="H895" s="3" t="str">
        <f>VLOOKUP(B895,'[1]Select territorios'!$C:$L,10,0)</f>
        <v>9.2627</v>
      </c>
      <c r="I895" s="3" t="str">
        <f>VLOOKUP(B895,'[1]Select territorios'!$C:$M,11,0)</f>
        <v>73.8136</v>
      </c>
      <c r="J895" s="5" t="s">
        <v>48</v>
      </c>
      <c r="K895" s="5">
        <v>1064795379</v>
      </c>
      <c r="L895" s="5">
        <v>3104688587</v>
      </c>
      <c r="M895" s="5" t="s">
        <v>49</v>
      </c>
    </row>
    <row r="896" spans="1:13" ht="15.75" x14ac:dyDescent="0.25">
      <c r="A896" s="3">
        <v>6971</v>
      </c>
      <c r="B896" s="3">
        <v>302180</v>
      </c>
      <c r="C896" s="3" t="s">
        <v>1846</v>
      </c>
      <c r="D896" s="3" t="s">
        <v>1847</v>
      </c>
      <c r="E896" s="6">
        <v>8554</v>
      </c>
      <c r="F896" s="3" t="s">
        <v>81</v>
      </c>
      <c r="G896" s="3" t="s">
        <v>27</v>
      </c>
      <c r="H896" s="3" t="str">
        <f>VLOOKUP(B896,'[1]Select territorios'!$C:$L,10,0)</f>
        <v>10.44645711</v>
      </c>
      <c r="I896" s="3" t="str">
        <f>VLOOKUP(B896,'[1]Select territorios'!$C:$M,11,0)</f>
        <v>-73.23946279</v>
      </c>
      <c r="J896" s="5" t="s">
        <v>40</v>
      </c>
      <c r="K896" s="5">
        <v>1003275622</v>
      </c>
      <c r="L896" s="5">
        <v>3218847746</v>
      </c>
      <c r="M896" s="5" t="s">
        <v>41</v>
      </c>
    </row>
    <row r="897" spans="1:13" ht="15.75" x14ac:dyDescent="0.25">
      <c r="A897" s="3">
        <v>6971</v>
      </c>
      <c r="B897" s="3">
        <v>302179</v>
      </c>
      <c r="C897" s="3" t="s">
        <v>1848</v>
      </c>
      <c r="D897" s="3" t="s">
        <v>1849</v>
      </c>
      <c r="E897" s="6">
        <v>6979</v>
      </c>
      <c r="F897" s="3" t="s">
        <v>57</v>
      </c>
      <c r="G897" s="3" t="s">
        <v>27</v>
      </c>
      <c r="H897" s="3" t="str">
        <f>VLOOKUP(B897,'[1]Select territorios'!$C:$L,10,0)</f>
        <v>9.199452</v>
      </c>
      <c r="I897" s="3" t="str">
        <f>VLOOKUP(B897,'[1]Select territorios'!$C:$M,11,0)</f>
        <v>-73.611892</v>
      </c>
      <c r="J897" s="5" t="s">
        <v>58</v>
      </c>
      <c r="K897" s="5">
        <v>1193146338</v>
      </c>
      <c r="L897" s="5">
        <v>3202114923</v>
      </c>
      <c r="M897" s="5" t="s">
        <v>59</v>
      </c>
    </row>
    <row r="898" spans="1:13" ht="15.75" x14ac:dyDescent="0.25">
      <c r="A898" s="3">
        <v>6971</v>
      </c>
      <c r="B898" s="3">
        <v>302141</v>
      </c>
      <c r="C898" s="3" t="s">
        <v>1850</v>
      </c>
      <c r="D898" s="3" t="s">
        <v>1851</v>
      </c>
      <c r="E898" s="6">
        <v>6977</v>
      </c>
      <c r="F898" s="3" t="s">
        <v>52</v>
      </c>
      <c r="G898" s="3" t="s">
        <v>1480</v>
      </c>
      <c r="H898" s="3" t="str">
        <f>VLOOKUP(B898,'[1]Select territorios'!$C:$L,10,0)</f>
        <v>9.39707934</v>
      </c>
      <c r="I898" s="3" t="str">
        <f>VLOOKUP(B898,'[1]Select territorios'!$C:$M,11,0)</f>
        <v>-73.48994630</v>
      </c>
      <c r="J898" s="5" t="s">
        <v>48</v>
      </c>
      <c r="K898" s="5">
        <v>1064795379</v>
      </c>
      <c r="L898" s="5">
        <v>3104688587</v>
      </c>
      <c r="M898" s="5" t="s">
        <v>49</v>
      </c>
    </row>
    <row r="899" spans="1:13" ht="15.75" x14ac:dyDescent="0.25">
      <c r="A899" s="3">
        <v>6971</v>
      </c>
      <c r="B899" s="3">
        <v>302221</v>
      </c>
      <c r="C899" s="3" t="s">
        <v>1852</v>
      </c>
      <c r="D899" s="3" t="s">
        <v>1853</v>
      </c>
      <c r="E899" s="6">
        <v>45388</v>
      </c>
      <c r="F899" s="3" t="s">
        <v>196</v>
      </c>
      <c r="G899" s="3" t="s">
        <v>27</v>
      </c>
      <c r="H899" s="3" t="str">
        <f>VLOOKUP(B899,'[1]Select territorios'!$C:$L,10,0)</f>
        <v>9.9727</v>
      </c>
      <c r="I899" s="3" t="str">
        <f>VLOOKUP(B899,'[1]Select territorios'!$C:$M,11,0)</f>
        <v>-73.8861</v>
      </c>
      <c r="J899" s="5" t="s">
        <v>48</v>
      </c>
      <c r="K899" s="5">
        <v>1064795379</v>
      </c>
      <c r="L899" s="5">
        <v>3104688587</v>
      </c>
      <c r="M899" s="5" t="s">
        <v>49</v>
      </c>
    </row>
    <row r="900" spans="1:13" ht="15.75" x14ac:dyDescent="0.25">
      <c r="A900" s="3">
        <v>6971</v>
      </c>
      <c r="B900" s="3">
        <v>302222</v>
      </c>
      <c r="C900" s="3" t="s">
        <v>1854</v>
      </c>
      <c r="D900" s="3" t="s">
        <v>1471</v>
      </c>
      <c r="E900" s="6">
        <v>45386</v>
      </c>
      <c r="F900" s="3" t="s">
        <v>67</v>
      </c>
      <c r="G900" s="3" t="s">
        <v>27</v>
      </c>
      <c r="H900" s="3" t="str">
        <f>VLOOKUP(B900,'[1]Select territorios'!$C:$L,10,0)</f>
        <v>10.2259246</v>
      </c>
      <c r="I900" s="3" t="str">
        <f>VLOOKUP(B900,'[1]Select territorios'!$C:$M,11,0)</f>
        <v>-73.4868302</v>
      </c>
      <c r="J900" s="5" t="s">
        <v>40</v>
      </c>
      <c r="K900" s="5">
        <v>1003275622</v>
      </c>
      <c r="L900" s="5">
        <v>3218847746</v>
      </c>
      <c r="M900" s="5" t="s">
        <v>41</v>
      </c>
    </row>
    <row r="901" spans="1:13" ht="15.75" x14ac:dyDescent="0.25">
      <c r="A901" s="3">
        <v>6971</v>
      </c>
      <c r="B901" s="3">
        <v>302223</v>
      </c>
      <c r="C901" s="3" t="s">
        <v>1855</v>
      </c>
      <c r="D901" s="3" t="s">
        <v>1856</v>
      </c>
      <c r="E901" s="6">
        <v>6974</v>
      </c>
      <c r="F901" s="3" t="s">
        <v>123</v>
      </c>
      <c r="G901" s="3" t="s">
        <v>27</v>
      </c>
      <c r="H901" s="3" t="str">
        <f>VLOOKUP(B901,'[1]Select territorios'!$C:$L,10,0)</f>
        <v>9.71321</v>
      </c>
      <c r="I901" s="3" t="str">
        <f>VLOOKUP(B901,'[1]Select territorios'!$C:$M,11,0)</f>
        <v>-73.27842</v>
      </c>
      <c r="J901" s="5" t="s">
        <v>58</v>
      </c>
      <c r="K901" s="5">
        <v>1193146338</v>
      </c>
      <c r="L901" s="5">
        <v>3202114923</v>
      </c>
      <c r="M901" s="5" t="s">
        <v>59</v>
      </c>
    </row>
    <row r="902" spans="1:13" ht="15.75" x14ac:dyDescent="0.25">
      <c r="A902" s="3">
        <v>6971</v>
      </c>
      <c r="B902" s="3">
        <v>302260</v>
      </c>
      <c r="C902" s="3" t="s">
        <v>1857</v>
      </c>
      <c r="D902" s="3" t="s">
        <v>1858</v>
      </c>
      <c r="E902" s="6">
        <v>6976</v>
      </c>
      <c r="F902" s="3" t="s">
        <v>96</v>
      </c>
      <c r="G902" s="3" t="s">
        <v>27</v>
      </c>
      <c r="H902" s="3" t="str">
        <f>VLOOKUP(B902,'[1]Select territorios'!$C:$L,10,0)</f>
        <v>9.2637</v>
      </c>
      <c r="I902" s="3" t="str">
        <f>VLOOKUP(B902,'[1]Select territorios'!$C:$M,11,0)</f>
        <v>-73.8108</v>
      </c>
      <c r="J902" s="5" t="s">
        <v>48</v>
      </c>
      <c r="K902" s="5">
        <v>1064795379</v>
      </c>
      <c r="L902" s="5">
        <v>3104688587</v>
      </c>
      <c r="M902" s="5" t="s">
        <v>49</v>
      </c>
    </row>
    <row r="903" spans="1:13" ht="15.75" x14ac:dyDescent="0.25">
      <c r="A903" s="3">
        <v>6971</v>
      </c>
      <c r="B903" s="3">
        <v>302259</v>
      </c>
      <c r="C903" s="3" t="s">
        <v>1859</v>
      </c>
      <c r="D903" s="3" t="s">
        <v>1860</v>
      </c>
      <c r="E903" s="6">
        <v>6976</v>
      </c>
      <c r="F903" s="3" t="s">
        <v>96</v>
      </c>
      <c r="G903" s="3" t="s">
        <v>27</v>
      </c>
      <c r="H903" s="3" t="str">
        <f>VLOOKUP(B903,'[1]Select territorios'!$C:$L,10,0)</f>
        <v>9.2603</v>
      </c>
      <c r="I903" s="3" t="str">
        <f>VLOOKUP(B903,'[1]Select territorios'!$C:$M,11,0)</f>
        <v>-73.8148</v>
      </c>
      <c r="J903" s="5" t="s">
        <v>48</v>
      </c>
      <c r="K903" s="5">
        <v>1064795379</v>
      </c>
      <c r="L903" s="5">
        <v>3104688587</v>
      </c>
      <c r="M903" s="5" t="s">
        <v>49</v>
      </c>
    </row>
    <row r="904" spans="1:13" ht="15.75" x14ac:dyDescent="0.25">
      <c r="A904" s="3">
        <v>6971</v>
      </c>
      <c r="B904" s="3">
        <v>301604</v>
      </c>
      <c r="C904" s="3" t="s">
        <v>1861</v>
      </c>
      <c r="D904" s="3" t="s">
        <v>1862</v>
      </c>
      <c r="E904" s="6">
        <v>43654</v>
      </c>
      <c r="F904" s="3" t="s">
        <v>976</v>
      </c>
      <c r="G904" s="3" t="s">
        <v>16</v>
      </c>
      <c r="H904" s="3" t="str">
        <f>VLOOKUP(B904,'[1]Select territorios'!$C:$L,10,0)</f>
        <v>10.4785</v>
      </c>
      <c r="I904" s="3" t="str">
        <f>VLOOKUP(B904,'[1]Select territorios'!$C:$M,11,0)</f>
        <v>-73.2447</v>
      </c>
      <c r="J904" s="5" t="s">
        <v>23</v>
      </c>
      <c r="K904" s="5">
        <v>1065600058</v>
      </c>
      <c r="L904" s="5">
        <v>3123009293</v>
      </c>
      <c r="M904" s="5" t="s">
        <v>24</v>
      </c>
    </row>
    <row r="905" spans="1:13" ht="15.75" x14ac:dyDescent="0.25">
      <c r="A905" s="3">
        <v>6971</v>
      </c>
      <c r="B905" s="3">
        <v>302261</v>
      </c>
      <c r="C905" s="3" t="s">
        <v>1863</v>
      </c>
      <c r="D905" s="3" t="s">
        <v>1864</v>
      </c>
      <c r="E905" s="6">
        <v>6982</v>
      </c>
      <c r="F905" s="3" t="s">
        <v>118</v>
      </c>
      <c r="G905" s="3" t="s">
        <v>27</v>
      </c>
      <c r="H905" s="3" t="str">
        <f>VLOOKUP(B905,'[1]Select territorios'!$C:$L,10,0)</f>
        <v>8.33226</v>
      </c>
      <c r="I905" s="3" t="str">
        <f>VLOOKUP(B905,'[1]Select territorios'!$C:$M,11,0)</f>
        <v>-73.72871</v>
      </c>
      <c r="J905" s="5" t="s">
        <v>107</v>
      </c>
      <c r="K905" s="5">
        <v>1005281494</v>
      </c>
      <c r="L905" s="5">
        <v>3158541035</v>
      </c>
      <c r="M905" s="5" t="s">
        <v>108</v>
      </c>
    </row>
    <row r="906" spans="1:13" ht="15.75" x14ac:dyDescent="0.25">
      <c r="A906" s="3">
        <v>6971</v>
      </c>
      <c r="B906" s="3">
        <v>302301</v>
      </c>
      <c r="C906" s="3" t="s">
        <v>1865</v>
      </c>
      <c r="D906" s="3" t="s">
        <v>1866</v>
      </c>
      <c r="E906" s="6">
        <v>45388</v>
      </c>
      <c r="F906" s="3" t="s">
        <v>196</v>
      </c>
      <c r="G906" s="3" t="s">
        <v>27</v>
      </c>
      <c r="H906" s="3" t="str">
        <f>VLOOKUP(B906,'[1]Select territorios'!$C:$L,10,0)</f>
        <v>9.9795</v>
      </c>
      <c r="I906" s="3" t="str">
        <f>VLOOKUP(B906,'[1]Select territorios'!$C:$M,11,0)</f>
        <v>-73.8965</v>
      </c>
      <c r="J906" s="5" t="s">
        <v>48</v>
      </c>
      <c r="K906" s="5">
        <v>1064795379</v>
      </c>
      <c r="L906" s="5">
        <v>3104688587</v>
      </c>
      <c r="M906" s="5" t="s">
        <v>49</v>
      </c>
    </row>
    <row r="907" spans="1:13" ht="15.75" x14ac:dyDescent="0.25">
      <c r="A907" s="3">
        <v>6971</v>
      </c>
      <c r="B907" s="3">
        <v>302323</v>
      </c>
      <c r="C907" s="3" t="s">
        <v>1867</v>
      </c>
      <c r="D907" s="3" t="s">
        <v>1868</v>
      </c>
      <c r="E907" s="6">
        <v>45388</v>
      </c>
      <c r="F907" s="3" t="s">
        <v>196</v>
      </c>
      <c r="G907" s="3" t="s">
        <v>27</v>
      </c>
      <c r="H907" s="3" t="str">
        <f>VLOOKUP(B907,'[1]Select territorios'!$C:$L,10,0)</f>
        <v>9.9722</v>
      </c>
      <c r="I907" s="3" t="str">
        <f>VLOOKUP(B907,'[1]Select territorios'!$C:$M,11,0)</f>
        <v>-73.8954</v>
      </c>
      <c r="J907" s="5" t="s">
        <v>48</v>
      </c>
      <c r="K907" s="5">
        <v>1064795379</v>
      </c>
      <c r="L907" s="5">
        <v>3104688587</v>
      </c>
      <c r="M907" s="5" t="s">
        <v>49</v>
      </c>
    </row>
    <row r="908" spans="1:13" ht="15.75" x14ac:dyDescent="0.25">
      <c r="A908" s="3">
        <v>6971</v>
      </c>
      <c r="B908" s="3">
        <v>302321</v>
      </c>
      <c r="C908" s="3" t="s">
        <v>1869</v>
      </c>
      <c r="D908" s="3" t="s">
        <v>822</v>
      </c>
      <c r="E908" s="6">
        <v>6986</v>
      </c>
      <c r="F908" s="3" t="s">
        <v>294</v>
      </c>
      <c r="G908" s="3" t="s">
        <v>27</v>
      </c>
      <c r="H908" s="3" t="str">
        <f>VLOOKUP(B908,'[1]Select territorios'!$C:$L,10,0)</f>
        <v>9.61803833</v>
      </c>
      <c r="I908" s="3" t="str">
        <f>VLOOKUP(B908,'[1]Select territorios'!$C:$M,11,0)</f>
        <v>-73.60733499</v>
      </c>
      <c r="J908" s="5" t="s">
        <v>48</v>
      </c>
      <c r="K908" s="5">
        <v>1064795379</v>
      </c>
      <c r="L908" s="5">
        <v>3104688587</v>
      </c>
      <c r="M908" s="5" t="s">
        <v>49</v>
      </c>
    </row>
    <row r="909" spans="1:13" ht="15.75" x14ac:dyDescent="0.25">
      <c r="A909" s="3">
        <v>6971</v>
      </c>
      <c r="B909" s="3">
        <v>302322</v>
      </c>
      <c r="C909" s="3" t="s">
        <v>1870</v>
      </c>
      <c r="D909" s="3" t="s">
        <v>1871</v>
      </c>
      <c r="E909" s="6">
        <v>6980</v>
      </c>
      <c r="F909" s="3" t="s">
        <v>384</v>
      </c>
      <c r="G909" s="3" t="s">
        <v>27</v>
      </c>
      <c r="H909" s="3" t="str">
        <f>VLOOKUP(B909,'[1]Select territorios'!$C:$L,10,0)</f>
        <v>10.19257483</v>
      </c>
      <c r="I909" s="3" t="str">
        <f>VLOOKUP(B909,'[1]Select territorios'!$C:$M,11,0)</f>
        <v>-73.97274021</v>
      </c>
      <c r="J909" s="5" t="s">
        <v>48</v>
      </c>
      <c r="K909" s="5">
        <v>1064795379</v>
      </c>
      <c r="L909" s="5">
        <v>3104688587</v>
      </c>
      <c r="M909" s="5" t="s">
        <v>49</v>
      </c>
    </row>
    <row r="910" spans="1:13" ht="15.75" x14ac:dyDescent="0.25">
      <c r="A910" s="3">
        <v>6971</v>
      </c>
      <c r="B910" s="3">
        <v>302277</v>
      </c>
      <c r="C910" s="3" t="s">
        <v>1872</v>
      </c>
      <c r="D910" s="3" t="s">
        <v>1873</v>
      </c>
      <c r="E910" s="6">
        <v>6997</v>
      </c>
      <c r="F910" s="3" t="s">
        <v>88</v>
      </c>
      <c r="G910" s="3" t="s">
        <v>1480</v>
      </c>
      <c r="H910" s="3" t="str">
        <f>VLOOKUP(B910,'[1]Select territorios'!$C:$L,10,0)</f>
        <v>10.2511</v>
      </c>
      <c r="I910" s="3" t="str">
        <f>VLOOKUP(B910,'[1]Select territorios'!$C:$M,11,0)</f>
        <v>-73.1435</v>
      </c>
      <c r="J910" s="5" t="s">
        <v>17</v>
      </c>
      <c r="K910" s="5">
        <v>15173890</v>
      </c>
      <c r="L910" s="5">
        <v>3002039991</v>
      </c>
      <c r="M910" s="5" t="s">
        <v>18</v>
      </c>
    </row>
    <row r="911" spans="1:13" ht="15.75" x14ac:dyDescent="0.25">
      <c r="A911" s="3">
        <v>6971</v>
      </c>
      <c r="B911" s="3">
        <v>302278</v>
      </c>
      <c r="C911" s="3" t="s">
        <v>1874</v>
      </c>
      <c r="D911" s="3" t="s">
        <v>1875</v>
      </c>
      <c r="E911" s="6">
        <v>8554</v>
      </c>
      <c r="F911" s="3" t="s">
        <v>81</v>
      </c>
      <c r="G911" s="3" t="s">
        <v>27</v>
      </c>
      <c r="H911" s="3" t="str">
        <f>VLOOKUP(B911,'[1]Select territorios'!$C:$L,10,0)</f>
        <v>10.44985718</v>
      </c>
      <c r="I911" s="3" t="str">
        <f>VLOOKUP(B911,'[1]Select territorios'!$C:$M,11,0)</f>
        <v>-73.24382649</v>
      </c>
      <c r="J911" s="5" t="s">
        <v>40</v>
      </c>
      <c r="K911" s="5">
        <v>1003275622</v>
      </c>
      <c r="L911" s="5">
        <v>3218847746</v>
      </c>
      <c r="M911" s="5" t="s">
        <v>41</v>
      </c>
    </row>
    <row r="912" spans="1:13" ht="15.75" x14ac:dyDescent="0.25">
      <c r="A912" s="3">
        <v>6971</v>
      </c>
      <c r="B912" s="3">
        <v>302300</v>
      </c>
      <c r="C912" s="3" t="s">
        <v>1876</v>
      </c>
      <c r="D912" s="3" t="s">
        <v>1877</v>
      </c>
      <c r="E912" s="6">
        <v>6974</v>
      </c>
      <c r="F912" s="3" t="s">
        <v>123</v>
      </c>
      <c r="G912" s="3" t="s">
        <v>27</v>
      </c>
      <c r="H912" s="3" t="str">
        <f>VLOOKUP(B912,'[1]Select territorios'!$C:$L,10,0)</f>
        <v>9.69742</v>
      </c>
      <c r="I912" s="3" t="str">
        <f>VLOOKUP(B912,'[1]Select territorios'!$C:$M,11,0)</f>
        <v>-73.27498</v>
      </c>
      <c r="J912" s="5" t="s">
        <v>58</v>
      </c>
      <c r="K912" s="5">
        <v>1193146338</v>
      </c>
      <c r="L912" s="5">
        <v>3202114923</v>
      </c>
      <c r="M912" s="5" t="s">
        <v>59</v>
      </c>
    </row>
    <row r="913" spans="1:13" ht="15.75" x14ac:dyDescent="0.25">
      <c r="A913" s="3">
        <v>6971</v>
      </c>
      <c r="B913" s="3">
        <v>302320</v>
      </c>
      <c r="C913" s="3" t="s">
        <v>1878</v>
      </c>
      <c r="D913" s="3" t="s">
        <v>1853</v>
      </c>
      <c r="E913" s="6">
        <v>6972</v>
      </c>
      <c r="F913" s="3" t="s">
        <v>173</v>
      </c>
      <c r="G913" s="3" t="s">
        <v>27</v>
      </c>
      <c r="H913" s="3" t="str">
        <f>VLOOKUP(B913,'[1]Select territorios'!$C:$L,10,0)</f>
        <v>8.31751937</v>
      </c>
      <c r="I913" s="3" t="str">
        <f>VLOOKUP(B913,'[1]Select territorios'!$C:$M,11,0)</f>
        <v>-73.59658137</v>
      </c>
      <c r="J913" s="5" t="s">
        <v>71</v>
      </c>
      <c r="K913" s="5">
        <v>1065818056</v>
      </c>
      <c r="L913" s="5">
        <v>3145467066</v>
      </c>
      <c r="M913" s="5" t="s">
        <v>72</v>
      </c>
    </row>
    <row r="914" spans="1:13" ht="15.75" x14ac:dyDescent="0.25">
      <c r="A914" s="3">
        <v>6971</v>
      </c>
      <c r="B914" s="3">
        <v>302484</v>
      </c>
      <c r="C914" s="3" t="s">
        <v>1879</v>
      </c>
      <c r="D914" s="3" t="s">
        <v>1880</v>
      </c>
      <c r="E914" s="6">
        <v>6996</v>
      </c>
      <c r="F914" s="3" t="s">
        <v>113</v>
      </c>
      <c r="G914" s="3" t="s">
        <v>27</v>
      </c>
      <c r="H914" s="3" t="str">
        <f>VLOOKUP(B914,'[1]Select territorios'!$C:$L,10,0)</f>
        <v>7.72716</v>
      </c>
      <c r="I914" s="3" t="str">
        <f>VLOOKUP(B914,'[1]Select territorios'!$C:$M,11,0)</f>
        <v>-73.51678</v>
      </c>
      <c r="J914" s="5" t="s">
        <v>107</v>
      </c>
      <c r="K914" s="5">
        <v>1005281494</v>
      </c>
      <c r="L914" s="5">
        <v>3158541035</v>
      </c>
      <c r="M914" s="5" t="s">
        <v>108</v>
      </c>
    </row>
    <row r="915" spans="1:13" ht="15.75" x14ac:dyDescent="0.25">
      <c r="A915" s="3">
        <v>6971</v>
      </c>
      <c r="B915" s="3">
        <v>302451</v>
      </c>
      <c r="C915" s="3" t="s">
        <v>1881</v>
      </c>
      <c r="D915" s="3" t="s">
        <v>1882</v>
      </c>
      <c r="E915" s="6">
        <v>8561</v>
      </c>
      <c r="F915" s="3" t="s">
        <v>168</v>
      </c>
      <c r="G915" s="3" t="s">
        <v>27</v>
      </c>
      <c r="H915" s="3" t="str">
        <f>VLOOKUP(B915,'[1]Select territorios'!$C:$L,10,0)</f>
        <v>8.30111176</v>
      </c>
      <c r="I915" s="3" t="str">
        <f>VLOOKUP(B915,'[1]Select territorios'!$C:$M,11,0)</f>
        <v>-73.61722459</v>
      </c>
      <c r="J915" s="5" t="s">
        <v>107</v>
      </c>
      <c r="K915" s="5">
        <v>1005281494</v>
      </c>
      <c r="L915" s="5">
        <v>3158541035</v>
      </c>
      <c r="M915" s="5" t="s">
        <v>108</v>
      </c>
    </row>
    <row r="916" spans="1:13" ht="15.75" x14ac:dyDescent="0.25">
      <c r="A916" s="3">
        <v>6971</v>
      </c>
      <c r="B916" s="3">
        <v>302279</v>
      </c>
      <c r="C916" s="3" t="s">
        <v>1883</v>
      </c>
      <c r="D916" s="3" t="s">
        <v>1884</v>
      </c>
      <c r="E916" s="6">
        <v>6973</v>
      </c>
      <c r="F916" s="3" t="s">
        <v>128</v>
      </c>
      <c r="G916" s="3" t="s">
        <v>27</v>
      </c>
      <c r="H916" s="3" t="str">
        <f>VLOOKUP(B916,'[1]Select territorios'!$C:$L,10,0)</f>
        <v>9.50184</v>
      </c>
      <c r="I916" s="3" t="str">
        <f>VLOOKUP(B916,'[1]Select territorios'!$C:$M,11,0)</f>
        <v>-73.97774</v>
      </c>
      <c r="J916" s="5" t="s">
        <v>48</v>
      </c>
      <c r="K916" s="5">
        <v>1064795379</v>
      </c>
      <c r="L916" s="5">
        <v>3104688587</v>
      </c>
      <c r="M916" s="5" t="s">
        <v>49</v>
      </c>
    </row>
    <row r="917" spans="1:13" ht="15.75" x14ac:dyDescent="0.25">
      <c r="A917" s="3">
        <v>6971</v>
      </c>
      <c r="B917" s="3">
        <v>302482</v>
      </c>
      <c r="C917" s="3" t="s">
        <v>1885</v>
      </c>
      <c r="D917" s="3" t="s">
        <v>1886</v>
      </c>
      <c r="E917" s="6">
        <v>6975</v>
      </c>
      <c r="F917" s="3" t="s">
        <v>78</v>
      </c>
      <c r="G917" s="3" t="s">
        <v>27</v>
      </c>
      <c r="H917" s="3" t="str">
        <f>VLOOKUP(B917,'[1]Select territorios'!$C:$L,10,0)</f>
        <v>9.97680</v>
      </c>
      <c r="I917" s="3" t="str">
        <f>VLOOKUP(B917,'[1]Select territorios'!$C:$M,11,0)</f>
        <v>-73.88393</v>
      </c>
      <c r="J917" s="5" t="s">
        <v>48</v>
      </c>
      <c r="K917" s="5">
        <v>1064795379</v>
      </c>
      <c r="L917" s="5">
        <v>3104688587</v>
      </c>
      <c r="M917" s="5" t="s">
        <v>49</v>
      </c>
    </row>
    <row r="918" spans="1:13" ht="15.75" x14ac:dyDescent="0.25">
      <c r="A918" s="3">
        <v>6971</v>
      </c>
      <c r="B918" s="3">
        <v>302483</v>
      </c>
      <c r="C918" s="3" t="s">
        <v>1887</v>
      </c>
      <c r="D918" s="3" t="s">
        <v>1888</v>
      </c>
      <c r="E918" s="6">
        <v>6976</v>
      </c>
      <c r="F918" s="3" t="s">
        <v>96</v>
      </c>
      <c r="G918" s="3" t="s">
        <v>27</v>
      </c>
      <c r="H918" s="3" t="str">
        <f>VLOOKUP(B918,'[1]Select territorios'!$C:$L,10,0)</f>
        <v>9.2629</v>
      </c>
      <c r="I918" s="3" t="str">
        <f>VLOOKUP(B918,'[1]Select territorios'!$C:$M,11,0)</f>
        <v>-73.8093</v>
      </c>
      <c r="J918" s="5" t="s">
        <v>48</v>
      </c>
      <c r="K918" s="5">
        <v>1064795379</v>
      </c>
      <c r="L918" s="5">
        <v>3104688587</v>
      </c>
      <c r="M918" s="5" t="s">
        <v>49</v>
      </c>
    </row>
    <row r="919" spans="1:13" ht="15.75" x14ac:dyDescent="0.25">
      <c r="A919" s="3">
        <v>6971</v>
      </c>
      <c r="B919" s="3">
        <v>302486</v>
      </c>
      <c r="C919" s="3" t="s">
        <v>1889</v>
      </c>
      <c r="D919" s="3" t="s">
        <v>1890</v>
      </c>
      <c r="E919" s="6">
        <v>6982</v>
      </c>
      <c r="F919" s="3" t="s">
        <v>118</v>
      </c>
      <c r="G919" s="3" t="s">
        <v>27</v>
      </c>
      <c r="H919" s="3" t="str">
        <f>VLOOKUP(B919,'[1]Select territorios'!$C:$L,10,0)</f>
        <v>8.32339</v>
      </c>
      <c r="I919" s="3" t="str">
        <f>VLOOKUP(B919,'[1]Select territorios'!$C:$M,11,0)</f>
        <v>-73.73980</v>
      </c>
      <c r="J919" s="5" t="s">
        <v>107</v>
      </c>
      <c r="K919" s="5">
        <v>1005281494</v>
      </c>
      <c r="L919" s="5">
        <v>3158541035</v>
      </c>
      <c r="M919" s="5" t="s">
        <v>108</v>
      </c>
    </row>
    <row r="920" spans="1:13" ht="15.75" x14ac:dyDescent="0.25">
      <c r="A920" s="3">
        <v>6971</v>
      </c>
      <c r="B920" s="3">
        <v>302481</v>
      </c>
      <c r="C920" s="3" t="s">
        <v>1891</v>
      </c>
      <c r="D920" s="3" t="s">
        <v>1892</v>
      </c>
      <c r="E920" s="6">
        <v>45386</v>
      </c>
      <c r="F920" s="3" t="s">
        <v>67</v>
      </c>
      <c r="G920" s="3" t="s">
        <v>27</v>
      </c>
      <c r="H920" s="3" t="str">
        <f>VLOOKUP(B920,'[1]Select territorios'!$C:$L,10,0)</f>
        <v>10.43530</v>
      </c>
      <c r="I920" s="3" t="str">
        <f>VLOOKUP(B920,'[1]Select territorios'!$C:$M,11,0)</f>
        <v>-73.26352</v>
      </c>
      <c r="J920" s="5" t="s">
        <v>40</v>
      </c>
      <c r="K920" s="5">
        <v>1003275622</v>
      </c>
      <c r="L920" s="5">
        <v>3218847746</v>
      </c>
      <c r="M920" s="5" t="s">
        <v>41</v>
      </c>
    </row>
    <row r="921" spans="1:13" ht="15.75" x14ac:dyDescent="0.25">
      <c r="A921" s="3">
        <v>6971</v>
      </c>
      <c r="B921" s="3">
        <v>302508</v>
      </c>
      <c r="C921" s="3" t="s">
        <v>1893</v>
      </c>
      <c r="D921" s="3" t="s">
        <v>1894</v>
      </c>
      <c r="E921" s="6">
        <v>6980</v>
      </c>
      <c r="F921" s="3" t="s">
        <v>384</v>
      </c>
      <c r="G921" s="3" t="s">
        <v>27</v>
      </c>
      <c r="H921" s="3" t="str">
        <f>VLOOKUP(B921,'[1]Select territorios'!$C:$L,10,0)</f>
        <v>10.32837059</v>
      </c>
      <c r="I921" s="3" t="str">
        <f>VLOOKUP(B921,'[1]Select territorios'!$C:$M,11,0)</f>
        <v>-73.84791081</v>
      </c>
      <c r="J921" s="5" t="s">
        <v>48</v>
      </c>
      <c r="K921" s="5">
        <v>1064795379</v>
      </c>
      <c r="L921" s="5">
        <v>3104688587</v>
      </c>
      <c r="M921" s="5" t="s">
        <v>49</v>
      </c>
    </row>
    <row r="922" spans="1:13" ht="15.75" x14ac:dyDescent="0.25">
      <c r="A922" s="3">
        <v>6971</v>
      </c>
      <c r="B922" s="3">
        <v>302507</v>
      </c>
      <c r="C922" s="3" t="s">
        <v>1895</v>
      </c>
      <c r="D922" s="3" t="s">
        <v>1896</v>
      </c>
      <c r="E922" s="6">
        <v>6977</v>
      </c>
      <c r="F922" s="3" t="s">
        <v>52</v>
      </c>
      <c r="G922" s="3" t="s">
        <v>1480</v>
      </c>
      <c r="H922" s="3" t="str">
        <f>VLOOKUP(B922,'[1]Select territorios'!$C:$L,10,0)</f>
        <v>9.36127551</v>
      </c>
      <c r="I922" s="3" t="str">
        <f>VLOOKUP(B922,'[1]Select territorios'!$C:$M,11,0)</f>
        <v>-73.58755317</v>
      </c>
      <c r="J922" s="5" t="s">
        <v>48</v>
      </c>
      <c r="K922" s="5">
        <v>1064795379</v>
      </c>
      <c r="L922" s="5">
        <v>3104688587</v>
      </c>
      <c r="M922" s="5" t="s">
        <v>49</v>
      </c>
    </row>
    <row r="923" spans="1:13" ht="15.75" x14ac:dyDescent="0.25">
      <c r="A923" s="3">
        <v>6971</v>
      </c>
      <c r="B923" s="3">
        <v>302542</v>
      </c>
      <c r="C923" s="3" t="s">
        <v>1897</v>
      </c>
      <c r="D923" s="3" t="s">
        <v>1898</v>
      </c>
      <c r="E923" s="6">
        <v>6975</v>
      </c>
      <c r="F923" s="3" t="s">
        <v>78</v>
      </c>
      <c r="G923" s="3" t="s">
        <v>27</v>
      </c>
      <c r="H923" s="3" t="str">
        <f>VLOOKUP(B923,'[1]Select territorios'!$C:$L,10,0)</f>
        <v>9.9833</v>
      </c>
      <c r="I923" s="3" t="str">
        <f>VLOOKUP(B923,'[1]Select territorios'!$C:$M,11,0)</f>
        <v>-73.8884</v>
      </c>
      <c r="J923" s="5" t="s">
        <v>48</v>
      </c>
      <c r="K923" s="5">
        <v>1064795379</v>
      </c>
      <c r="L923" s="5">
        <v>3104688587</v>
      </c>
      <c r="M923" s="5" t="s">
        <v>49</v>
      </c>
    </row>
    <row r="924" spans="1:13" ht="15.75" x14ac:dyDescent="0.25">
      <c r="A924" s="3">
        <v>6971</v>
      </c>
      <c r="B924" s="3">
        <v>302544</v>
      </c>
      <c r="C924" s="3" t="s">
        <v>1899</v>
      </c>
      <c r="D924" s="3" t="s">
        <v>1900</v>
      </c>
      <c r="E924" s="6">
        <v>45386</v>
      </c>
      <c r="F924" s="3" t="s">
        <v>67</v>
      </c>
      <c r="G924" s="3" t="s">
        <v>27</v>
      </c>
      <c r="H924" s="3" t="str">
        <f>VLOOKUP(B924,'[1]Select territorios'!$C:$L,10,0)</f>
        <v>10.43628</v>
      </c>
      <c r="I924" s="3" t="str">
        <f>VLOOKUP(B924,'[1]Select territorios'!$C:$M,11,0)</f>
        <v>-73.25926</v>
      </c>
      <c r="J924" s="5" t="s">
        <v>40</v>
      </c>
      <c r="K924" s="5">
        <v>1003275622</v>
      </c>
      <c r="L924" s="5">
        <v>3218847746</v>
      </c>
      <c r="M924" s="5" t="s">
        <v>41</v>
      </c>
    </row>
    <row r="925" spans="1:13" ht="15.75" x14ac:dyDescent="0.25">
      <c r="A925" s="3">
        <v>6971</v>
      </c>
      <c r="B925" s="3">
        <v>302563</v>
      </c>
      <c r="C925" s="3" t="s">
        <v>1901</v>
      </c>
      <c r="D925" s="3" t="s">
        <v>1902</v>
      </c>
      <c r="E925" s="6">
        <v>8562</v>
      </c>
      <c r="F925" s="3" t="s">
        <v>213</v>
      </c>
      <c r="G925" s="3" t="s">
        <v>27</v>
      </c>
      <c r="H925" s="3" t="str">
        <f>VLOOKUP(B925,'[1]Select territorios'!$C:$L,10,0)</f>
        <v>8.29091</v>
      </c>
      <c r="I925" s="3" t="str">
        <f>VLOOKUP(B925,'[1]Select territorios'!$C:$M,11,0)</f>
        <v>-73.62237</v>
      </c>
      <c r="J925" s="5" t="s">
        <v>71</v>
      </c>
      <c r="K925" s="5">
        <v>1065818056</v>
      </c>
      <c r="L925" s="5">
        <v>3145467066</v>
      </c>
      <c r="M925" s="5" t="s">
        <v>72</v>
      </c>
    </row>
    <row r="926" spans="1:13" ht="15.75" x14ac:dyDescent="0.25">
      <c r="A926" s="3">
        <v>6971</v>
      </c>
      <c r="B926" s="3">
        <v>302543</v>
      </c>
      <c r="C926" s="3" t="s">
        <v>1903</v>
      </c>
      <c r="D926" s="3" t="s">
        <v>1904</v>
      </c>
      <c r="E926" s="6">
        <v>6974</v>
      </c>
      <c r="F926" s="3" t="s">
        <v>123</v>
      </c>
      <c r="G926" s="3" t="s">
        <v>27</v>
      </c>
      <c r="H926" s="3" t="str">
        <f>VLOOKUP(B926,'[1]Select territorios'!$C:$L,10,0)</f>
        <v>9.70388</v>
      </c>
      <c r="I926" s="3" t="str">
        <f>VLOOKUP(B926,'[1]Select territorios'!$C:$M,11,0)</f>
        <v>-73.27820</v>
      </c>
      <c r="J926" s="5" t="s">
        <v>58</v>
      </c>
      <c r="K926" s="5">
        <v>1193146338</v>
      </c>
      <c r="L926" s="5">
        <v>3202114923</v>
      </c>
      <c r="M926" s="5" t="s">
        <v>59</v>
      </c>
    </row>
    <row r="927" spans="1:13" ht="15.75" x14ac:dyDescent="0.25">
      <c r="A927" s="3">
        <v>6971</v>
      </c>
      <c r="B927" s="3">
        <v>302585</v>
      </c>
      <c r="C927" s="3" t="s">
        <v>1905</v>
      </c>
      <c r="D927" s="3" t="s">
        <v>1906</v>
      </c>
      <c r="E927" s="6">
        <v>6975</v>
      </c>
      <c r="F927" s="3" t="s">
        <v>78</v>
      </c>
      <c r="G927" s="3" t="s">
        <v>27</v>
      </c>
      <c r="H927" s="3" t="str">
        <f>VLOOKUP(B927,'[1]Select territorios'!$C:$L,10,0)</f>
        <v>9.9784</v>
      </c>
      <c r="I927" s="3" t="str">
        <f>VLOOKUP(B927,'[1]Select territorios'!$C:$M,11,0)</f>
        <v>-73.8870</v>
      </c>
      <c r="J927" s="5" t="s">
        <v>48</v>
      </c>
      <c r="K927" s="5">
        <v>1064795379</v>
      </c>
      <c r="L927" s="5">
        <v>3104688587</v>
      </c>
      <c r="M927" s="5" t="s">
        <v>49</v>
      </c>
    </row>
    <row r="928" spans="1:13" ht="15.75" x14ac:dyDescent="0.25">
      <c r="A928" s="3">
        <v>6971</v>
      </c>
      <c r="B928" s="3">
        <v>302562</v>
      </c>
      <c r="C928" s="3" t="s">
        <v>1907</v>
      </c>
      <c r="D928" s="3" t="s">
        <v>1908</v>
      </c>
      <c r="E928" s="6">
        <v>44806</v>
      </c>
      <c r="F928" s="3" t="s">
        <v>326</v>
      </c>
      <c r="G928" s="3" t="s">
        <v>27</v>
      </c>
      <c r="H928" s="3" t="str">
        <f>VLOOKUP(B928,'[1]Select territorios'!$C:$L,10,0)</f>
        <v>10.3480531</v>
      </c>
      <c r="I928" s="3" t="str">
        <f>VLOOKUP(B928,'[1]Select territorios'!$C:$M,11,0)</f>
        <v>-73.0386028</v>
      </c>
      <c r="J928" s="5" t="s">
        <v>40</v>
      </c>
      <c r="K928" s="5">
        <v>1003275622</v>
      </c>
      <c r="L928" s="5">
        <v>3218847746</v>
      </c>
      <c r="M928" s="5" t="s">
        <v>41</v>
      </c>
    </row>
    <row r="929" spans="1:13" ht="15.75" x14ac:dyDescent="0.25">
      <c r="A929" s="3">
        <v>6971</v>
      </c>
      <c r="B929" s="3">
        <v>302587</v>
      </c>
      <c r="C929" s="3" t="s">
        <v>1909</v>
      </c>
      <c r="D929" s="3" t="s">
        <v>1910</v>
      </c>
      <c r="E929" s="6">
        <v>6977</v>
      </c>
      <c r="F929" s="3" t="s">
        <v>52</v>
      </c>
      <c r="G929" s="3" t="s">
        <v>1480</v>
      </c>
      <c r="H929" s="3" t="str">
        <f>VLOOKUP(B929,'[1]Select territorios'!$C:$L,10,0)</f>
        <v>9.35796125</v>
      </c>
      <c r="I929" s="3" t="str">
        <f>VLOOKUP(B929,'[1]Select territorios'!$C:$M,11,0)</f>
        <v>-73.60581323</v>
      </c>
      <c r="J929" s="5" t="s">
        <v>48</v>
      </c>
      <c r="K929" s="5">
        <v>1064795379</v>
      </c>
      <c r="L929" s="5">
        <v>3104688587</v>
      </c>
      <c r="M929" s="5" t="s">
        <v>49</v>
      </c>
    </row>
    <row r="930" spans="1:13" ht="15.75" x14ac:dyDescent="0.25">
      <c r="A930" s="3">
        <v>6971</v>
      </c>
      <c r="B930" s="3">
        <v>302586</v>
      </c>
      <c r="C930" s="3" t="s">
        <v>1911</v>
      </c>
      <c r="D930" s="3" t="s">
        <v>1912</v>
      </c>
      <c r="E930" s="6">
        <v>6976</v>
      </c>
      <c r="F930" s="3" t="s">
        <v>96</v>
      </c>
      <c r="G930" s="3" t="s">
        <v>27</v>
      </c>
      <c r="H930" s="3" t="str">
        <f>VLOOKUP(B930,'[1]Select territorios'!$C:$L,10,0)</f>
        <v>9.2657</v>
      </c>
      <c r="I930" s="3" t="str">
        <f>VLOOKUP(B930,'[1]Select territorios'!$C:$M,11,0)</f>
        <v>-73.8088</v>
      </c>
      <c r="J930" s="5" t="s">
        <v>48</v>
      </c>
      <c r="K930" s="5">
        <v>1064795379</v>
      </c>
      <c r="L930" s="5">
        <v>3104688587</v>
      </c>
      <c r="M930" s="5" t="s">
        <v>49</v>
      </c>
    </row>
    <row r="931" spans="1:13" ht="15.75" x14ac:dyDescent="0.25">
      <c r="A931" s="3">
        <v>6971</v>
      </c>
      <c r="B931" s="3">
        <v>302564</v>
      </c>
      <c r="C931" s="3" t="s">
        <v>1913</v>
      </c>
      <c r="D931" s="3" t="s">
        <v>1914</v>
      </c>
      <c r="E931" s="6">
        <v>42463</v>
      </c>
      <c r="F931" s="3" t="s">
        <v>377</v>
      </c>
      <c r="G931" s="3" t="s">
        <v>27</v>
      </c>
      <c r="H931" s="3" t="str">
        <f>VLOOKUP(B931,'[1]Select territorios'!$C:$L,10,0)</f>
        <v>10.032751</v>
      </c>
      <c r="I931" s="3" t="str">
        <f>VLOOKUP(B931,'[1]Select territorios'!$C:$M,11,0)</f>
        <v>-73.234048</v>
      </c>
      <c r="J931" s="5" t="s">
        <v>58</v>
      </c>
      <c r="K931" s="5">
        <v>1193146338</v>
      </c>
      <c r="L931" s="5">
        <v>3202114923</v>
      </c>
      <c r="M931" s="5" t="s">
        <v>59</v>
      </c>
    </row>
    <row r="932" spans="1:13" ht="15.75" x14ac:dyDescent="0.25">
      <c r="A932" s="3">
        <v>6971</v>
      </c>
      <c r="B932" s="3">
        <v>302565</v>
      </c>
      <c r="C932" s="3" t="s">
        <v>1915</v>
      </c>
      <c r="D932" s="3" t="s">
        <v>1916</v>
      </c>
      <c r="E932" s="6">
        <v>42463</v>
      </c>
      <c r="F932" s="3" t="s">
        <v>377</v>
      </c>
      <c r="G932" s="3" t="s">
        <v>27</v>
      </c>
      <c r="H932" s="3" t="str">
        <f>VLOOKUP(B932,'[1]Select territorios'!$C:$L,10,0)</f>
        <v>9.942559</v>
      </c>
      <c r="I932" s="3" t="str">
        <f>VLOOKUP(B932,'[1]Select territorios'!$C:$M,11,0)</f>
        <v>-73.500411</v>
      </c>
      <c r="J932" s="5" t="s">
        <v>58</v>
      </c>
      <c r="K932" s="5">
        <v>1193146338</v>
      </c>
      <c r="L932" s="5">
        <v>3202114923</v>
      </c>
      <c r="M932" s="5" t="s">
        <v>59</v>
      </c>
    </row>
    <row r="933" spans="1:13" ht="15.75" x14ac:dyDescent="0.25">
      <c r="A933" s="3">
        <v>6971</v>
      </c>
      <c r="B933" s="3">
        <v>302581</v>
      </c>
      <c r="C933" s="3" t="s">
        <v>1917</v>
      </c>
      <c r="D933" s="3" t="s">
        <v>1918</v>
      </c>
      <c r="E933" s="6">
        <v>45386</v>
      </c>
      <c r="F933" s="3" t="s">
        <v>67</v>
      </c>
      <c r="G933" s="3" t="s">
        <v>27</v>
      </c>
      <c r="H933" s="3" t="str">
        <f>VLOOKUP(B933,'[1]Select territorios'!$C:$L,10,0)</f>
        <v>10.43905</v>
      </c>
      <c r="I933" s="3" t="str">
        <f>VLOOKUP(B933,'[1]Select territorios'!$C:$M,11,0)</f>
        <v>-73.25610</v>
      </c>
      <c r="J933" s="5" t="s">
        <v>40</v>
      </c>
      <c r="K933" s="5">
        <v>1003275622</v>
      </c>
      <c r="L933" s="5">
        <v>3218847746</v>
      </c>
      <c r="M933" s="5" t="s">
        <v>41</v>
      </c>
    </row>
    <row r="934" spans="1:13" ht="15.75" x14ac:dyDescent="0.25">
      <c r="A934" s="3">
        <v>6971</v>
      </c>
      <c r="B934" s="3">
        <v>302615</v>
      </c>
      <c r="C934" s="3" t="s">
        <v>1919</v>
      </c>
      <c r="D934" s="3" t="s">
        <v>90</v>
      </c>
      <c r="E934" s="6">
        <v>45388</v>
      </c>
      <c r="F934" s="3" t="s">
        <v>196</v>
      </c>
      <c r="G934" s="3" t="s">
        <v>27</v>
      </c>
      <c r="H934" s="3" t="str">
        <f>VLOOKUP(B934,'[1]Select territorios'!$C:$L,10,0)</f>
        <v>9.9739</v>
      </c>
      <c r="I934" s="3" t="str">
        <f>VLOOKUP(B934,'[1]Select territorios'!$C:$M,11,0)</f>
        <v>-73.8915</v>
      </c>
      <c r="J934" s="5" t="s">
        <v>48</v>
      </c>
      <c r="K934" s="5">
        <v>1064795379</v>
      </c>
      <c r="L934" s="5">
        <v>3104688587</v>
      </c>
      <c r="M934" s="5" t="s">
        <v>49</v>
      </c>
    </row>
    <row r="935" spans="1:13" ht="15.75" x14ac:dyDescent="0.25">
      <c r="A935" s="3">
        <v>6971</v>
      </c>
      <c r="B935" s="3">
        <v>302566</v>
      </c>
      <c r="C935" s="3" t="s">
        <v>1920</v>
      </c>
      <c r="D935" s="3" t="s">
        <v>1921</v>
      </c>
      <c r="E935" s="6">
        <v>6978</v>
      </c>
      <c r="F935" s="3" t="s">
        <v>91</v>
      </c>
      <c r="G935" s="3" t="s">
        <v>27</v>
      </c>
      <c r="H935" s="3" t="str">
        <f>VLOOKUP(B935,'[1]Select territorios'!$C:$L,10,0)</f>
        <v>10.03853956</v>
      </c>
      <c r="I935" s="3" t="str">
        <f>VLOOKUP(B935,'[1]Select territorios'!$C:$M,11,0)</f>
        <v>-73.24593304</v>
      </c>
      <c r="J935" s="5" t="s">
        <v>58</v>
      </c>
      <c r="K935" s="5">
        <v>1193146338</v>
      </c>
      <c r="L935" s="5">
        <v>3202114923</v>
      </c>
      <c r="M935" s="5" t="s">
        <v>59</v>
      </c>
    </row>
    <row r="936" spans="1:13" ht="15.75" x14ac:dyDescent="0.25">
      <c r="A936" s="3">
        <v>6971</v>
      </c>
      <c r="B936" s="3">
        <v>302588</v>
      </c>
      <c r="C936" s="3" t="s">
        <v>1922</v>
      </c>
      <c r="D936" s="3" t="s">
        <v>1724</v>
      </c>
      <c r="E936" s="6">
        <v>6997</v>
      </c>
      <c r="F936" s="3" t="s">
        <v>88</v>
      </c>
      <c r="G936" s="3" t="s">
        <v>1480</v>
      </c>
      <c r="H936" s="3" t="str">
        <f>VLOOKUP(B936,'[1]Select territorios'!$C:$L,10,0)</f>
        <v>10.3328</v>
      </c>
      <c r="I936" s="3" t="str">
        <f>VLOOKUP(B936,'[1]Select territorios'!$C:$M,11,0)</f>
        <v>-73.1867</v>
      </c>
      <c r="J936" s="5" t="s">
        <v>17</v>
      </c>
      <c r="K936" s="5">
        <v>15173890</v>
      </c>
      <c r="L936" s="5">
        <v>3002039991</v>
      </c>
      <c r="M936" s="5" t="s">
        <v>18</v>
      </c>
    </row>
    <row r="937" spans="1:13" ht="15.75" x14ac:dyDescent="0.25">
      <c r="A937" s="3">
        <v>6971</v>
      </c>
      <c r="B937" s="3">
        <v>302620</v>
      </c>
      <c r="C937" s="3" t="s">
        <v>1923</v>
      </c>
      <c r="D937" s="3" t="s">
        <v>1924</v>
      </c>
      <c r="E937" s="6">
        <v>6982</v>
      </c>
      <c r="F937" s="3" t="s">
        <v>118</v>
      </c>
      <c r="G937" s="3" t="s">
        <v>27</v>
      </c>
      <c r="H937" s="3">
        <v>833372</v>
      </c>
      <c r="I937" s="3">
        <v>-7373151</v>
      </c>
      <c r="J937" s="5" t="s">
        <v>107</v>
      </c>
      <c r="K937" s="5">
        <v>1005281494</v>
      </c>
      <c r="L937" s="5">
        <v>3158541035</v>
      </c>
      <c r="M937" s="5" t="s">
        <v>108</v>
      </c>
    </row>
    <row r="938" spans="1:13" ht="15.75" x14ac:dyDescent="0.25">
      <c r="A938" s="3">
        <v>6971</v>
      </c>
      <c r="B938" s="3">
        <v>302616</v>
      </c>
      <c r="C938" s="3" t="s">
        <v>1925</v>
      </c>
      <c r="D938" s="3" t="s">
        <v>1926</v>
      </c>
      <c r="E938" s="6">
        <v>6985</v>
      </c>
      <c r="F938" s="3" t="s">
        <v>101</v>
      </c>
      <c r="G938" s="3" t="s">
        <v>27</v>
      </c>
      <c r="H938" s="3" t="str">
        <f>VLOOKUP(B938,'[1]Select territorios'!$C:$L,10,0)</f>
        <v>9.55302437</v>
      </c>
      <c r="I938" s="3" t="str">
        <f>VLOOKUP(B938,'[1]Select territorios'!$C:$M,11,0)</f>
        <v>-73.32946257</v>
      </c>
      <c r="J938" s="5" t="s">
        <v>58</v>
      </c>
      <c r="K938" s="5">
        <v>1193146338</v>
      </c>
      <c r="L938" s="5">
        <v>3202114923</v>
      </c>
      <c r="M938" s="5" t="s">
        <v>59</v>
      </c>
    </row>
    <row r="939" spans="1:13" ht="15.75" x14ac:dyDescent="0.25">
      <c r="A939" s="3">
        <v>6971</v>
      </c>
      <c r="B939" s="3">
        <v>302628</v>
      </c>
      <c r="C939" s="3" t="s">
        <v>1927</v>
      </c>
      <c r="D939" s="3" t="s">
        <v>1928</v>
      </c>
      <c r="E939" s="6">
        <v>6974</v>
      </c>
      <c r="F939" s="3" t="s">
        <v>123</v>
      </c>
      <c r="G939" s="3" t="s">
        <v>27</v>
      </c>
      <c r="H939" s="3">
        <v>970574</v>
      </c>
      <c r="I939" s="3">
        <v>-7327321</v>
      </c>
      <c r="J939" s="5" t="s">
        <v>58</v>
      </c>
      <c r="K939" s="5">
        <v>1193146338</v>
      </c>
      <c r="L939" s="5">
        <v>3202114923</v>
      </c>
      <c r="M939" s="5" t="s">
        <v>59</v>
      </c>
    </row>
    <row r="940" spans="1:13" ht="15.75" x14ac:dyDescent="0.25">
      <c r="A940" s="3">
        <v>6971</v>
      </c>
      <c r="B940" s="3">
        <v>302631</v>
      </c>
      <c r="C940" s="3" t="s">
        <v>1929</v>
      </c>
      <c r="D940" s="3" t="s">
        <v>1930</v>
      </c>
      <c r="E940" s="6">
        <v>45388</v>
      </c>
      <c r="F940" s="3" t="s">
        <v>196</v>
      </c>
      <c r="G940" s="3" t="s">
        <v>27</v>
      </c>
      <c r="H940" s="3">
        <v>99767</v>
      </c>
      <c r="I940" s="3">
        <v>-738916</v>
      </c>
      <c r="J940" s="5" t="s">
        <v>48</v>
      </c>
      <c r="K940" s="5">
        <v>1064795379</v>
      </c>
      <c r="L940" s="5">
        <v>3104688587</v>
      </c>
      <c r="M940" s="5" t="s">
        <v>49</v>
      </c>
    </row>
    <row r="941" spans="1:13" ht="15.75" x14ac:dyDescent="0.25">
      <c r="A941" s="3">
        <v>6971</v>
      </c>
      <c r="B941" s="3">
        <v>302633</v>
      </c>
      <c r="C941" s="3" t="s">
        <v>1931</v>
      </c>
      <c r="D941" s="3" t="s">
        <v>1500</v>
      </c>
      <c r="E941" s="6">
        <v>6993</v>
      </c>
      <c r="F941" s="3" t="s">
        <v>370</v>
      </c>
      <c r="G941" s="3" t="s">
        <v>27</v>
      </c>
      <c r="H941" s="3">
        <v>104111</v>
      </c>
      <c r="I941" s="3">
        <v>-735892</v>
      </c>
      <c r="J941" s="5" t="s">
        <v>40</v>
      </c>
      <c r="K941" s="5">
        <v>1003275622</v>
      </c>
      <c r="L941" s="5">
        <v>3218847746</v>
      </c>
      <c r="M941" s="5" t="s">
        <v>41</v>
      </c>
    </row>
    <row r="942" spans="1:13" ht="15.75" x14ac:dyDescent="0.25">
      <c r="A942" s="3">
        <v>6971</v>
      </c>
      <c r="B942" s="3">
        <v>302485</v>
      </c>
      <c r="C942" s="3" t="s">
        <v>1932</v>
      </c>
      <c r="D942" s="3" t="s">
        <v>1933</v>
      </c>
      <c r="E942" s="6">
        <v>6991</v>
      </c>
      <c r="F942" s="3" t="s">
        <v>70</v>
      </c>
      <c r="G942" s="3" t="s">
        <v>27</v>
      </c>
      <c r="H942" s="3" t="str">
        <f>VLOOKUP(B942,'[1]Select territorios'!$C:$L,10,0)</f>
        <v>8.6918</v>
      </c>
      <c r="I942" s="3" t="str">
        <f>VLOOKUP(B942,'[1]Select territorios'!$C:$M,11,0)</f>
        <v>-73.6680</v>
      </c>
      <c r="J942" s="5" t="s">
        <v>71</v>
      </c>
      <c r="K942" s="5">
        <v>1065818056</v>
      </c>
      <c r="L942" s="5">
        <v>3145467066</v>
      </c>
      <c r="M942" s="5" t="s">
        <v>72</v>
      </c>
    </row>
    <row r="943" spans="1:13" ht="15.75" x14ac:dyDescent="0.25">
      <c r="A943" s="3">
        <v>6971</v>
      </c>
      <c r="B943" s="3">
        <v>302632</v>
      </c>
      <c r="C943" s="3" t="s">
        <v>1934</v>
      </c>
      <c r="D943" s="3" t="s">
        <v>1935</v>
      </c>
      <c r="E943" s="6">
        <v>6993</v>
      </c>
      <c r="F943" s="3" t="s">
        <v>370</v>
      </c>
      <c r="G943" s="3" t="s">
        <v>27</v>
      </c>
      <c r="H943" s="3">
        <v>1041279703</v>
      </c>
      <c r="I943" s="3">
        <v>-7359044127</v>
      </c>
      <c r="J943" s="5" t="s">
        <v>40</v>
      </c>
      <c r="K943" s="5">
        <v>1003275622</v>
      </c>
      <c r="L943" s="5">
        <v>3218847746</v>
      </c>
      <c r="M943" s="5" t="s">
        <v>41</v>
      </c>
    </row>
    <row r="944" spans="1:13" ht="15.75" x14ac:dyDescent="0.25">
      <c r="A944" s="3">
        <v>6971</v>
      </c>
      <c r="B944" s="3">
        <v>302627</v>
      </c>
      <c r="C944" s="3" t="s">
        <v>1936</v>
      </c>
      <c r="D944" s="3" t="s">
        <v>1937</v>
      </c>
      <c r="E944" s="6">
        <v>6976</v>
      </c>
      <c r="F944" s="3" t="s">
        <v>96</v>
      </c>
      <c r="G944" s="3" t="s">
        <v>27</v>
      </c>
      <c r="H944" s="3">
        <v>92668</v>
      </c>
      <c r="I944" s="3">
        <v>-738126</v>
      </c>
      <c r="J944" s="5" t="s">
        <v>48</v>
      </c>
      <c r="K944" s="5">
        <v>1064795379</v>
      </c>
      <c r="L944" s="5">
        <v>3104688587</v>
      </c>
      <c r="M944" s="5" t="s">
        <v>49</v>
      </c>
    </row>
    <row r="945" spans="1:13" ht="15.75" x14ac:dyDescent="0.25">
      <c r="A945" s="3">
        <v>6971</v>
      </c>
      <c r="B945" s="3">
        <v>302629</v>
      </c>
      <c r="C945" s="3" t="s">
        <v>1938</v>
      </c>
      <c r="D945" s="3" t="s">
        <v>1939</v>
      </c>
      <c r="E945" s="6">
        <v>6976</v>
      </c>
      <c r="F945" s="3" t="s">
        <v>96</v>
      </c>
      <c r="G945" s="3" t="s">
        <v>27</v>
      </c>
      <c r="H945" s="3">
        <v>92649</v>
      </c>
      <c r="I945" s="3">
        <v>-738122</v>
      </c>
      <c r="J945" s="5" t="s">
        <v>48</v>
      </c>
      <c r="K945" s="5">
        <v>1064795379</v>
      </c>
      <c r="L945" s="5">
        <v>3104688587</v>
      </c>
      <c r="M945" s="5" t="s">
        <v>49</v>
      </c>
    </row>
    <row r="946" spans="1:13" ht="15.75" x14ac:dyDescent="0.25">
      <c r="A946" s="3">
        <v>6971</v>
      </c>
      <c r="B946" s="3">
        <v>302592</v>
      </c>
      <c r="C946" s="3" t="s">
        <v>1940</v>
      </c>
      <c r="D946" s="3" t="s">
        <v>1941</v>
      </c>
      <c r="E946" s="6">
        <v>18935</v>
      </c>
      <c r="F946" s="3" t="s">
        <v>44</v>
      </c>
      <c r="G946" s="3" t="s">
        <v>27</v>
      </c>
      <c r="H946" s="3" t="str">
        <f>VLOOKUP(B946,'[1]Select territorios'!$C:$L,10,0)</f>
        <v>10.45605</v>
      </c>
      <c r="I946" s="3" t="str">
        <f>VLOOKUP(B946,'[1]Select territorios'!$C:$M,11,0)</f>
        <v>-73.25309</v>
      </c>
      <c r="J946" s="5" t="s">
        <v>40</v>
      </c>
      <c r="K946" s="5">
        <v>1003275622</v>
      </c>
      <c r="L946" s="5">
        <v>3218847746</v>
      </c>
      <c r="M946" s="5" t="s">
        <v>41</v>
      </c>
    </row>
    <row r="947" spans="1:13" ht="15.75" x14ac:dyDescent="0.25">
      <c r="A947" s="3">
        <v>6971</v>
      </c>
      <c r="B947" s="3">
        <v>302630</v>
      </c>
      <c r="C947" s="3" t="s">
        <v>1942</v>
      </c>
      <c r="D947" s="3" t="s">
        <v>1943</v>
      </c>
      <c r="E947" s="6">
        <v>6985</v>
      </c>
      <c r="F947" s="3" t="s">
        <v>101</v>
      </c>
      <c r="G947" s="3" t="s">
        <v>27</v>
      </c>
      <c r="H947" s="3">
        <v>956830369</v>
      </c>
      <c r="I947" s="3">
        <v>-7333074948</v>
      </c>
      <c r="J947" s="5" t="s">
        <v>58</v>
      </c>
      <c r="K947" s="5">
        <v>1193146338</v>
      </c>
      <c r="L947" s="5">
        <v>3202114923</v>
      </c>
      <c r="M947" s="5" t="s">
        <v>59</v>
      </c>
    </row>
  </sheetData>
  <conditionalFormatting sqref="B1:B9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2026-02-05T19:40:46Z</dcterms:created>
  <dcterms:modified xsi:type="dcterms:W3CDTF">2026-02-05T19:45:33Z</dcterms:modified>
</cp:coreProperties>
</file>